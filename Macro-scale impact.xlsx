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dcn32_bath_ac_uk/Documents/PDRA/Personal/Papers colab/"/>
    </mc:Choice>
  </mc:AlternateContent>
  <xr:revisionPtr revIDLastSave="3" documentId="8_{2EA1AD17-1B76-4E11-B62F-228FB80B5D93}" xr6:coauthVersionLast="47" xr6:coauthVersionMax="47" xr10:uidLastSave="{0AA52263-841C-4F6B-8604-27B2241803FE}"/>
  <bookViews>
    <workbookView xWindow="7220" yWindow="930" windowWidth="11840" windowHeight="8170" activeTab="3" xr2:uid="{B6C16023-578B-412F-BA5E-A2EE59D660FA}"/>
  </bookViews>
  <sheets>
    <sheet name="WDP change" sheetId="14" r:id="rId1"/>
    <sheet name="kg P change" sheetId="13" r:id="rId2"/>
    <sheet name="kg N change" sheetId="12" r:id="rId3"/>
    <sheet name="GWP change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37" i="12" l="1"/>
  <c r="BM37" i="12"/>
  <c r="BN37" i="12"/>
  <c r="BO37" i="12"/>
  <c r="BK37" i="12"/>
  <c r="BL35" i="12"/>
  <c r="BM35" i="12"/>
  <c r="BN35" i="12"/>
  <c r="BO35" i="12"/>
  <c r="BK35" i="12"/>
  <c r="BL33" i="12"/>
  <c r="BM33" i="12"/>
  <c r="BN33" i="12"/>
  <c r="BO33" i="12"/>
  <c r="BK33" i="12"/>
  <c r="CV29" i="14"/>
  <c r="CT29" i="14"/>
  <c r="CS29" i="14"/>
  <c r="CU29" i="14" s="1"/>
  <c r="CW29" i="14" s="1"/>
  <c r="CV28" i="14"/>
  <c r="CT28" i="14"/>
  <c r="CS28" i="14"/>
  <c r="CU28" i="14" s="1"/>
  <c r="CV27" i="14"/>
  <c r="CT27" i="14"/>
  <c r="CU27" i="14" s="1"/>
  <c r="CS27" i="14"/>
  <c r="CV25" i="14"/>
  <c r="CU25" i="14"/>
  <c r="CT25" i="14"/>
  <c r="CS25" i="14"/>
  <c r="CV24" i="14"/>
  <c r="CT24" i="14"/>
  <c r="CS24" i="14"/>
  <c r="CU24" i="14" s="1"/>
  <c r="CV23" i="14"/>
  <c r="CT23" i="14"/>
  <c r="CS23" i="14"/>
  <c r="CU23" i="14" s="1"/>
  <c r="CV20" i="14"/>
  <c r="CT20" i="14"/>
  <c r="CS20" i="14"/>
  <c r="CU20" i="14" s="1"/>
  <c r="CV19" i="14"/>
  <c r="CT19" i="14"/>
  <c r="CS19" i="14"/>
  <c r="CU19" i="14" s="1"/>
  <c r="CV18" i="14"/>
  <c r="CT18" i="14"/>
  <c r="CS18" i="14"/>
  <c r="CU18" i="14" s="1"/>
  <c r="CV16" i="14"/>
  <c r="CT16" i="14"/>
  <c r="CU16" i="14" s="1"/>
  <c r="CS16" i="14"/>
  <c r="CV15" i="14"/>
  <c r="CU15" i="14"/>
  <c r="CT15" i="14"/>
  <c r="CS15" i="14"/>
  <c r="CV14" i="14"/>
  <c r="CT14" i="14"/>
  <c r="CS14" i="14"/>
  <c r="CU14" i="14" s="1"/>
  <c r="CV12" i="14"/>
  <c r="CT12" i="14"/>
  <c r="CS12" i="14"/>
  <c r="CS33" i="14" s="1"/>
  <c r="CV11" i="14"/>
  <c r="CT11" i="14"/>
  <c r="CS11" i="14"/>
  <c r="CU11" i="14" s="1"/>
  <c r="CV10" i="14"/>
  <c r="CT10" i="14"/>
  <c r="CS10" i="14"/>
  <c r="CU10" i="14" s="1"/>
  <c r="CV8" i="14"/>
  <c r="CT8" i="14"/>
  <c r="CS8" i="14"/>
  <c r="CU8" i="14" s="1"/>
  <c r="CV7" i="14"/>
  <c r="CV37" i="14" s="1"/>
  <c r="CT7" i="14"/>
  <c r="CT37" i="14" s="1"/>
  <c r="CS7" i="14"/>
  <c r="CS37" i="14" s="1"/>
  <c r="CV6" i="14"/>
  <c r="CU6" i="14"/>
  <c r="CT6" i="14"/>
  <c r="CS6" i="14"/>
  <c r="BN29" i="14"/>
  <c r="BL29" i="14"/>
  <c r="BK29" i="14"/>
  <c r="BM29" i="14" s="1"/>
  <c r="BO29" i="14" s="1"/>
  <c r="BN28" i="14"/>
  <c r="BL28" i="14"/>
  <c r="BK28" i="14"/>
  <c r="BM28" i="14" s="1"/>
  <c r="BN27" i="14"/>
  <c r="BL27" i="14"/>
  <c r="BK27" i="14"/>
  <c r="BM27" i="14" s="1"/>
  <c r="BN25" i="14"/>
  <c r="BL25" i="14"/>
  <c r="BK25" i="14"/>
  <c r="BM25" i="14" s="1"/>
  <c r="BN24" i="14"/>
  <c r="BL24" i="14"/>
  <c r="BK24" i="14"/>
  <c r="BM24" i="14" s="1"/>
  <c r="BN23" i="14"/>
  <c r="BL23" i="14"/>
  <c r="BM23" i="14" s="1"/>
  <c r="BK23" i="14"/>
  <c r="BN20" i="14"/>
  <c r="BM20" i="14"/>
  <c r="BL20" i="14"/>
  <c r="BK20" i="14"/>
  <c r="BN19" i="14"/>
  <c r="BL19" i="14"/>
  <c r="BK19" i="14"/>
  <c r="BM19" i="14" s="1"/>
  <c r="BN18" i="14"/>
  <c r="BL18" i="14"/>
  <c r="BK18" i="14"/>
  <c r="BM18" i="14" s="1"/>
  <c r="BN16" i="14"/>
  <c r="BL16" i="14"/>
  <c r="BK16" i="14"/>
  <c r="BM16" i="14" s="1"/>
  <c r="BN15" i="14"/>
  <c r="BL15" i="14"/>
  <c r="BK15" i="14"/>
  <c r="BM15" i="14" s="1"/>
  <c r="BN14" i="14"/>
  <c r="BL14" i="14"/>
  <c r="BK14" i="14"/>
  <c r="BM14" i="14" s="1"/>
  <c r="BN12" i="14"/>
  <c r="BL12" i="14"/>
  <c r="BM12" i="14" s="1"/>
  <c r="BK12" i="14"/>
  <c r="BN11" i="14"/>
  <c r="BM11" i="14"/>
  <c r="BL11" i="14"/>
  <c r="BK11" i="14"/>
  <c r="BN10" i="14"/>
  <c r="BL10" i="14"/>
  <c r="BK10" i="14"/>
  <c r="BM10" i="14" s="1"/>
  <c r="BN8" i="14"/>
  <c r="BL8" i="14"/>
  <c r="BK8" i="14"/>
  <c r="BM8" i="14" s="1"/>
  <c r="BN7" i="14"/>
  <c r="BN33" i="14" s="1"/>
  <c r="BL7" i="14"/>
  <c r="BL33" i="14" s="1"/>
  <c r="BK7" i="14"/>
  <c r="BM7" i="14" s="1"/>
  <c r="BN6" i="14"/>
  <c r="BM6" i="14"/>
  <c r="BL6" i="14"/>
  <c r="BK6" i="14"/>
  <c r="CJ42" i="14"/>
  <c r="CH42" i="14"/>
  <c r="CG42" i="14"/>
  <c r="CI42" i="14" s="1"/>
  <c r="CJ41" i="14"/>
  <c r="CH41" i="14"/>
  <c r="CG41" i="14"/>
  <c r="CI41" i="14" s="1"/>
  <c r="CJ40" i="14"/>
  <c r="CH40" i="14"/>
  <c r="CG40" i="14"/>
  <c r="CG43" i="14" s="1"/>
  <c r="CJ39" i="14"/>
  <c r="CI39" i="14"/>
  <c r="CH39" i="14"/>
  <c r="CG39" i="14"/>
  <c r="CJ36" i="14"/>
  <c r="CH36" i="14"/>
  <c r="CG36" i="14"/>
  <c r="CI36" i="14" s="1"/>
  <c r="CJ35" i="14"/>
  <c r="CH35" i="14"/>
  <c r="CG35" i="14"/>
  <c r="CI35" i="14" s="1"/>
  <c r="CJ34" i="14"/>
  <c r="CJ37" i="14" s="1"/>
  <c r="CH34" i="14"/>
  <c r="CG34" i="14"/>
  <c r="CI34" i="14" s="1"/>
  <c r="CJ31" i="14"/>
  <c r="CH31" i="14"/>
  <c r="CG31" i="14"/>
  <c r="CI31" i="14" s="1"/>
  <c r="CJ30" i="14"/>
  <c r="CH30" i="14"/>
  <c r="CG30" i="14"/>
  <c r="CI30" i="14" s="1"/>
  <c r="CJ29" i="14"/>
  <c r="CH29" i="14"/>
  <c r="CH32" i="14" s="1"/>
  <c r="CG29" i="14"/>
  <c r="CI29" i="14" s="1"/>
  <c r="CJ28" i="14"/>
  <c r="CJ32" i="14" s="1"/>
  <c r="CI28" i="14"/>
  <c r="CH28" i="14"/>
  <c r="CG28" i="14"/>
  <c r="CJ25" i="14"/>
  <c r="CH25" i="14"/>
  <c r="CG25" i="14"/>
  <c r="CI25" i="14" s="1"/>
  <c r="CJ24" i="14"/>
  <c r="CH24" i="14"/>
  <c r="CG24" i="14"/>
  <c r="CI24" i="14" s="1"/>
  <c r="CJ23" i="14"/>
  <c r="CJ26" i="14" s="1"/>
  <c r="CH23" i="14"/>
  <c r="CG23" i="14"/>
  <c r="CI23" i="14" s="1"/>
  <c r="CJ22" i="14"/>
  <c r="CH22" i="14"/>
  <c r="CG22" i="14"/>
  <c r="CI22" i="14" s="1"/>
  <c r="CJ21" i="14"/>
  <c r="CH21" i="14"/>
  <c r="CH26" i="14" s="1"/>
  <c r="CG21" i="14"/>
  <c r="CI21" i="14" s="1"/>
  <c r="CJ18" i="14"/>
  <c r="CH18" i="14"/>
  <c r="CG18" i="14"/>
  <c r="CI18" i="14" s="1"/>
  <c r="CJ17" i="14"/>
  <c r="CI17" i="14"/>
  <c r="CH17" i="14"/>
  <c r="CG17" i="14"/>
  <c r="CJ16" i="14"/>
  <c r="CH16" i="14"/>
  <c r="CG16" i="14"/>
  <c r="CI16" i="14" s="1"/>
  <c r="CJ15" i="14"/>
  <c r="CH15" i="14"/>
  <c r="CG15" i="14"/>
  <c r="CI15" i="14" s="1"/>
  <c r="CJ14" i="14"/>
  <c r="CH14" i="14"/>
  <c r="CG14" i="14"/>
  <c r="CI14" i="14" s="1"/>
  <c r="CJ13" i="14"/>
  <c r="CH13" i="14"/>
  <c r="CG13" i="14"/>
  <c r="CI13" i="14" s="1"/>
  <c r="CJ10" i="14"/>
  <c r="CH10" i="14"/>
  <c r="CG10" i="14"/>
  <c r="CI10" i="14" s="1"/>
  <c r="CJ9" i="14"/>
  <c r="CH9" i="14"/>
  <c r="CG9" i="14"/>
  <c r="CI9" i="14" s="1"/>
  <c r="CJ8" i="14"/>
  <c r="CI8" i="14"/>
  <c r="CH8" i="14"/>
  <c r="CG8" i="14"/>
  <c r="CJ7" i="14"/>
  <c r="CH7" i="14"/>
  <c r="CG7" i="14"/>
  <c r="CI7" i="14" s="1"/>
  <c r="CJ6" i="14"/>
  <c r="CJ11" i="14" s="1"/>
  <c r="CH6" i="14"/>
  <c r="CG6" i="14"/>
  <c r="CI6" i="14" s="1"/>
  <c r="BB42" i="14"/>
  <c r="AZ42" i="14"/>
  <c r="AY42" i="14"/>
  <c r="BA42" i="14" s="1"/>
  <c r="BB41" i="14"/>
  <c r="AZ41" i="14"/>
  <c r="AY41" i="14"/>
  <c r="BA41" i="14" s="1"/>
  <c r="BB40" i="14"/>
  <c r="AZ40" i="14"/>
  <c r="AY40" i="14"/>
  <c r="BA40" i="14" s="1"/>
  <c r="BB39" i="14"/>
  <c r="BB43" i="14" s="1"/>
  <c r="AZ39" i="14"/>
  <c r="AY39" i="14"/>
  <c r="BA39" i="14" s="1"/>
  <c r="BB36" i="14"/>
  <c r="BA36" i="14"/>
  <c r="AZ36" i="14"/>
  <c r="AY36" i="14"/>
  <c r="BB35" i="14"/>
  <c r="AZ35" i="14"/>
  <c r="AY35" i="14"/>
  <c r="BA35" i="14" s="1"/>
  <c r="BB34" i="14"/>
  <c r="AZ34" i="14"/>
  <c r="AY34" i="14"/>
  <c r="BA34" i="14" s="1"/>
  <c r="BB31" i="14"/>
  <c r="AZ31" i="14"/>
  <c r="AY31" i="14"/>
  <c r="BA31" i="14" s="1"/>
  <c r="BB30" i="14"/>
  <c r="AZ30" i="14"/>
  <c r="AY30" i="14"/>
  <c r="BA30" i="14" s="1"/>
  <c r="BB29" i="14"/>
  <c r="AZ29" i="14"/>
  <c r="AY29" i="14"/>
  <c r="BA29" i="14" s="1"/>
  <c r="BB28" i="14"/>
  <c r="AZ28" i="14"/>
  <c r="AY28" i="14"/>
  <c r="AY32" i="14" s="1"/>
  <c r="BB25" i="14"/>
  <c r="BA25" i="14"/>
  <c r="AZ25" i="14"/>
  <c r="AY25" i="14"/>
  <c r="BB24" i="14"/>
  <c r="AZ24" i="14"/>
  <c r="AY24" i="14"/>
  <c r="BA24" i="14" s="1"/>
  <c r="BB23" i="14"/>
  <c r="AZ23" i="14"/>
  <c r="AY23" i="14"/>
  <c r="BA23" i="14" s="1"/>
  <c r="BB22" i="14"/>
  <c r="AZ22" i="14"/>
  <c r="AY22" i="14"/>
  <c r="BA22" i="14" s="1"/>
  <c r="BB21" i="14"/>
  <c r="AZ21" i="14"/>
  <c r="AY21" i="14"/>
  <c r="BA21" i="14" s="1"/>
  <c r="BB18" i="14"/>
  <c r="AZ18" i="14"/>
  <c r="AY18" i="14"/>
  <c r="BA18" i="14" s="1"/>
  <c r="BB17" i="14"/>
  <c r="AZ17" i="14"/>
  <c r="AY17" i="14"/>
  <c r="BA17" i="14" s="1"/>
  <c r="BB16" i="14"/>
  <c r="BA16" i="14"/>
  <c r="AZ16" i="14"/>
  <c r="AY16" i="14"/>
  <c r="BB15" i="14"/>
  <c r="AZ15" i="14"/>
  <c r="AY15" i="14"/>
  <c r="BA15" i="14" s="1"/>
  <c r="BB14" i="14"/>
  <c r="AZ14" i="14"/>
  <c r="AY14" i="14"/>
  <c r="BA14" i="14" s="1"/>
  <c r="BB13" i="14"/>
  <c r="AZ13" i="14"/>
  <c r="AY13" i="14"/>
  <c r="BA13" i="14" s="1"/>
  <c r="BB10" i="14"/>
  <c r="AZ10" i="14"/>
  <c r="AY10" i="14"/>
  <c r="BA10" i="14" s="1"/>
  <c r="BB9" i="14"/>
  <c r="AZ9" i="14"/>
  <c r="AY9" i="14"/>
  <c r="BA9" i="14" s="1"/>
  <c r="BB8" i="14"/>
  <c r="AZ8" i="14"/>
  <c r="AY8" i="14"/>
  <c r="BA8" i="14" s="1"/>
  <c r="BB7" i="14"/>
  <c r="BA7" i="14"/>
  <c r="AZ7" i="14"/>
  <c r="AY7" i="14"/>
  <c r="BB6" i="14"/>
  <c r="AZ6" i="14"/>
  <c r="AY6" i="14"/>
  <c r="BY27" i="14"/>
  <c r="BW27" i="14"/>
  <c r="BV27" i="14"/>
  <c r="BX27" i="14" s="1"/>
  <c r="BY26" i="14"/>
  <c r="BW26" i="14"/>
  <c r="BV26" i="14"/>
  <c r="BX26" i="14" s="1"/>
  <c r="BY23" i="14"/>
  <c r="BW23" i="14"/>
  <c r="BW24" i="14" s="1"/>
  <c r="BV23" i="14"/>
  <c r="BY22" i="14"/>
  <c r="BX22" i="14"/>
  <c r="BW22" i="14"/>
  <c r="BV22" i="14"/>
  <c r="BY19" i="14"/>
  <c r="BX19" i="14"/>
  <c r="BW19" i="14"/>
  <c r="BV19" i="14"/>
  <c r="BY18" i="14"/>
  <c r="BW18" i="14"/>
  <c r="BV18" i="14"/>
  <c r="BX18" i="14" s="1"/>
  <c r="BY15" i="14"/>
  <c r="BY16" i="14" s="1"/>
  <c r="BW15" i="14"/>
  <c r="BV15" i="14"/>
  <c r="BX15" i="14" s="1"/>
  <c r="BY14" i="14"/>
  <c r="BW14" i="14"/>
  <c r="BV14" i="14"/>
  <c r="BX14" i="14" s="1"/>
  <c r="BY11" i="14"/>
  <c r="BW11" i="14"/>
  <c r="BV11" i="14"/>
  <c r="BX11" i="14" s="1"/>
  <c r="BY10" i="14"/>
  <c r="BW10" i="14"/>
  <c r="BX10" i="14" s="1"/>
  <c r="BV10" i="14"/>
  <c r="BY7" i="14"/>
  <c r="BX7" i="14"/>
  <c r="BW7" i="14"/>
  <c r="BV7" i="14"/>
  <c r="BY6" i="14"/>
  <c r="BX6" i="14"/>
  <c r="BW6" i="14"/>
  <c r="BV6" i="14"/>
  <c r="AQ27" i="14"/>
  <c r="AO27" i="14"/>
  <c r="AN27" i="14"/>
  <c r="AP27" i="14" s="1"/>
  <c r="AQ26" i="14"/>
  <c r="AQ28" i="14" s="1"/>
  <c r="AO26" i="14"/>
  <c r="AO28" i="14" s="1"/>
  <c r="AN26" i="14"/>
  <c r="AP26" i="14" s="1"/>
  <c r="AQ23" i="14"/>
  <c r="AO23" i="14"/>
  <c r="AN23" i="14"/>
  <c r="AP23" i="14" s="1"/>
  <c r="AQ22" i="14"/>
  <c r="AO22" i="14"/>
  <c r="AO24" i="14" s="1"/>
  <c r="AN22" i="14"/>
  <c r="AN24" i="14" s="1"/>
  <c r="AQ19" i="14"/>
  <c r="AQ20" i="14" s="1"/>
  <c r="AO19" i="14"/>
  <c r="AP19" i="14" s="1"/>
  <c r="AN19" i="14"/>
  <c r="AQ18" i="14"/>
  <c r="AP18" i="14"/>
  <c r="AO18" i="14"/>
  <c r="AN18" i="14"/>
  <c r="AQ15" i="14"/>
  <c r="AP15" i="14"/>
  <c r="AO15" i="14"/>
  <c r="AN15" i="14"/>
  <c r="AQ14" i="14"/>
  <c r="AO14" i="14"/>
  <c r="AN14" i="14"/>
  <c r="AP14" i="14" s="1"/>
  <c r="AQ11" i="14"/>
  <c r="AQ12" i="14" s="1"/>
  <c r="AO11" i="14"/>
  <c r="AN11" i="14"/>
  <c r="AP11" i="14" s="1"/>
  <c r="AQ10" i="14"/>
  <c r="AO10" i="14"/>
  <c r="AN10" i="14"/>
  <c r="AP10" i="14" s="1"/>
  <c r="AQ7" i="14"/>
  <c r="AO7" i="14"/>
  <c r="AN7" i="14"/>
  <c r="AP7" i="14" s="1"/>
  <c r="AQ6" i="14"/>
  <c r="AP6" i="14"/>
  <c r="AO6" i="14"/>
  <c r="AN6" i="14"/>
  <c r="BK41" i="13"/>
  <c r="BL41" i="13"/>
  <c r="BM41" i="13"/>
  <c r="BN41" i="13"/>
  <c r="BO41" i="13"/>
  <c r="BL43" i="13"/>
  <c r="BM43" i="13"/>
  <c r="BN43" i="13"/>
  <c r="BO43" i="13"/>
  <c r="BL45" i="13"/>
  <c r="BM45" i="13"/>
  <c r="BN45" i="13"/>
  <c r="BO45" i="13"/>
  <c r="BK45" i="13"/>
  <c r="BK43" i="13"/>
  <c r="BL37" i="13"/>
  <c r="BM37" i="13"/>
  <c r="BN37" i="13"/>
  <c r="BO37" i="13"/>
  <c r="BK37" i="13"/>
  <c r="BL35" i="13"/>
  <c r="BM35" i="13"/>
  <c r="BN35" i="13"/>
  <c r="BO35" i="13"/>
  <c r="BK35" i="13"/>
  <c r="BL33" i="13"/>
  <c r="BM33" i="13"/>
  <c r="BN33" i="13"/>
  <c r="BO33" i="13"/>
  <c r="BK33" i="13"/>
  <c r="CV29" i="13"/>
  <c r="CT29" i="13"/>
  <c r="CS29" i="13"/>
  <c r="CU29" i="13" s="1"/>
  <c r="CV28" i="13"/>
  <c r="CU28" i="13"/>
  <c r="CT28" i="13"/>
  <c r="CS28" i="13"/>
  <c r="CV27" i="13"/>
  <c r="CT27" i="13"/>
  <c r="CS27" i="13"/>
  <c r="CU27" i="13" s="1"/>
  <c r="CV25" i="13"/>
  <c r="CW25" i="13" s="1"/>
  <c r="CU25" i="13"/>
  <c r="CT25" i="13"/>
  <c r="CS25" i="13"/>
  <c r="CV24" i="13"/>
  <c r="CT24" i="13"/>
  <c r="CS24" i="13"/>
  <c r="CU24" i="13" s="1"/>
  <c r="CV23" i="13"/>
  <c r="CT23" i="13"/>
  <c r="CS23" i="13"/>
  <c r="CU23" i="13" s="1"/>
  <c r="CV20" i="13"/>
  <c r="CT20" i="13"/>
  <c r="CS20" i="13"/>
  <c r="CU20" i="13" s="1"/>
  <c r="CV19" i="13"/>
  <c r="CT19" i="13"/>
  <c r="CS19" i="13"/>
  <c r="CU19" i="13" s="1"/>
  <c r="CV18" i="13"/>
  <c r="CU18" i="13"/>
  <c r="CT18" i="13"/>
  <c r="CS18" i="13"/>
  <c r="CV16" i="13"/>
  <c r="CT16" i="13"/>
  <c r="CS16" i="13"/>
  <c r="CU16" i="13" s="1"/>
  <c r="CV15" i="13"/>
  <c r="CU15" i="13"/>
  <c r="CT15" i="13"/>
  <c r="CS15" i="13"/>
  <c r="CV14" i="13"/>
  <c r="CT14" i="13"/>
  <c r="CS14" i="13"/>
  <c r="CU14" i="13" s="1"/>
  <c r="CV12" i="13"/>
  <c r="CT12" i="13"/>
  <c r="CS12" i="13"/>
  <c r="CU12" i="13" s="1"/>
  <c r="CV11" i="13"/>
  <c r="CT11" i="13"/>
  <c r="CT35" i="13" s="1"/>
  <c r="CS11" i="13"/>
  <c r="CU11" i="13" s="1"/>
  <c r="CV10" i="13"/>
  <c r="CT10" i="13"/>
  <c r="CS10" i="13"/>
  <c r="CU10" i="13" s="1"/>
  <c r="CV8" i="13"/>
  <c r="CU8" i="13"/>
  <c r="CT8" i="13"/>
  <c r="CS8" i="13"/>
  <c r="CV7" i="13"/>
  <c r="CT7" i="13"/>
  <c r="CT33" i="13" s="1"/>
  <c r="CS7" i="13"/>
  <c r="CS35" i="13" s="1"/>
  <c r="CV6" i="13"/>
  <c r="CV35" i="13" s="1"/>
  <c r="CU6" i="13"/>
  <c r="CT6" i="13"/>
  <c r="CS6" i="13"/>
  <c r="BN29" i="13"/>
  <c r="BL29" i="13"/>
  <c r="BK29" i="13"/>
  <c r="BM29" i="13" s="1"/>
  <c r="BN28" i="13"/>
  <c r="BL28" i="13"/>
  <c r="BK28" i="13"/>
  <c r="BM28" i="13" s="1"/>
  <c r="BN27" i="13"/>
  <c r="BL27" i="13"/>
  <c r="BK27" i="13"/>
  <c r="BM27" i="13" s="1"/>
  <c r="BN25" i="13"/>
  <c r="BL25" i="13"/>
  <c r="BK25" i="13"/>
  <c r="BM25" i="13" s="1"/>
  <c r="BN24" i="13"/>
  <c r="BM24" i="13"/>
  <c r="BL24" i="13"/>
  <c r="BK24" i="13"/>
  <c r="BN23" i="13"/>
  <c r="BL23" i="13"/>
  <c r="BK23" i="13"/>
  <c r="BM23" i="13" s="1"/>
  <c r="BN20" i="13"/>
  <c r="BM20" i="13"/>
  <c r="BL20" i="13"/>
  <c r="BK20" i="13"/>
  <c r="BN19" i="13"/>
  <c r="BL19" i="13"/>
  <c r="BK19" i="13"/>
  <c r="BM19" i="13" s="1"/>
  <c r="BN18" i="13"/>
  <c r="BL18" i="13"/>
  <c r="BK18" i="13"/>
  <c r="BM18" i="13" s="1"/>
  <c r="BN16" i="13"/>
  <c r="BL16" i="13"/>
  <c r="BK16" i="13"/>
  <c r="BM16" i="13" s="1"/>
  <c r="BN15" i="13"/>
  <c r="BL15" i="13"/>
  <c r="BK15" i="13"/>
  <c r="BM15" i="13" s="1"/>
  <c r="BN14" i="13"/>
  <c r="BM14" i="13"/>
  <c r="BL14" i="13"/>
  <c r="BK14" i="13"/>
  <c r="BN12" i="13"/>
  <c r="BL12" i="13"/>
  <c r="BK12" i="13"/>
  <c r="BM12" i="13" s="1"/>
  <c r="BN11" i="13"/>
  <c r="BM11" i="13"/>
  <c r="BL11" i="13"/>
  <c r="BK11" i="13"/>
  <c r="BN10" i="13"/>
  <c r="BL10" i="13"/>
  <c r="BK10" i="13"/>
  <c r="BM10" i="13" s="1"/>
  <c r="BN8" i="13"/>
  <c r="BM8" i="13"/>
  <c r="BL8" i="13"/>
  <c r="BK8" i="13"/>
  <c r="BN7" i="13"/>
  <c r="BL7" i="13"/>
  <c r="BK7" i="13"/>
  <c r="BN6" i="13"/>
  <c r="BL6" i="13"/>
  <c r="BK6" i="13"/>
  <c r="CJ42" i="13"/>
  <c r="CH42" i="13"/>
  <c r="CG42" i="13"/>
  <c r="CI42" i="13" s="1"/>
  <c r="CJ41" i="13"/>
  <c r="CI41" i="13"/>
  <c r="CH41" i="13"/>
  <c r="CG41" i="13"/>
  <c r="CJ40" i="13"/>
  <c r="CH40" i="13"/>
  <c r="CG40" i="13"/>
  <c r="CI40" i="13" s="1"/>
  <c r="CJ39" i="13"/>
  <c r="CI39" i="13"/>
  <c r="CH39" i="13"/>
  <c r="CG39" i="13"/>
  <c r="CJ36" i="13"/>
  <c r="CH36" i="13"/>
  <c r="CG36" i="13"/>
  <c r="CI36" i="13" s="1"/>
  <c r="CJ35" i="13"/>
  <c r="CH35" i="13"/>
  <c r="CG35" i="13"/>
  <c r="CI35" i="13" s="1"/>
  <c r="CJ34" i="13"/>
  <c r="CH34" i="13"/>
  <c r="CG34" i="13"/>
  <c r="CI34" i="13" s="1"/>
  <c r="CJ31" i="13"/>
  <c r="CH31" i="13"/>
  <c r="CG31" i="13"/>
  <c r="CI31" i="13" s="1"/>
  <c r="CJ30" i="13"/>
  <c r="CI30" i="13"/>
  <c r="CH30" i="13"/>
  <c r="CG30" i="13"/>
  <c r="CJ29" i="13"/>
  <c r="CH29" i="13"/>
  <c r="CH32" i="13" s="1"/>
  <c r="CG29" i="13"/>
  <c r="CI29" i="13" s="1"/>
  <c r="CJ28" i="13"/>
  <c r="CI28" i="13"/>
  <c r="CH28" i="13"/>
  <c r="CG28" i="13"/>
  <c r="CJ25" i="13"/>
  <c r="CH25" i="13"/>
  <c r="CG25" i="13"/>
  <c r="CI25" i="13" s="1"/>
  <c r="CJ24" i="13"/>
  <c r="CH24" i="13"/>
  <c r="CG24" i="13"/>
  <c r="CI24" i="13" s="1"/>
  <c r="CJ23" i="13"/>
  <c r="CH23" i="13"/>
  <c r="CG23" i="13"/>
  <c r="CI23" i="13" s="1"/>
  <c r="CJ22" i="13"/>
  <c r="CH22" i="13"/>
  <c r="CG22" i="13"/>
  <c r="CI22" i="13" s="1"/>
  <c r="CJ21" i="13"/>
  <c r="CI21" i="13"/>
  <c r="CH21" i="13"/>
  <c r="CG21" i="13"/>
  <c r="CJ18" i="13"/>
  <c r="CH18" i="13"/>
  <c r="CG18" i="13"/>
  <c r="CI18" i="13" s="1"/>
  <c r="CJ17" i="13"/>
  <c r="CI17" i="13"/>
  <c r="CH17" i="13"/>
  <c r="CG17" i="13"/>
  <c r="CJ16" i="13"/>
  <c r="CH16" i="13"/>
  <c r="CG16" i="13"/>
  <c r="CI16" i="13" s="1"/>
  <c r="CJ15" i="13"/>
  <c r="CH15" i="13"/>
  <c r="CG15" i="13"/>
  <c r="CI15" i="13" s="1"/>
  <c r="CJ14" i="13"/>
  <c r="CH14" i="13"/>
  <c r="CG14" i="13"/>
  <c r="CG19" i="13" s="1"/>
  <c r="CJ13" i="13"/>
  <c r="CH13" i="13"/>
  <c r="CG13" i="13"/>
  <c r="CI13" i="13" s="1"/>
  <c r="CJ10" i="13"/>
  <c r="CI10" i="13"/>
  <c r="CH10" i="13"/>
  <c r="CG10" i="13"/>
  <c r="CJ9" i="13"/>
  <c r="CH9" i="13"/>
  <c r="CG9" i="13"/>
  <c r="CI9" i="13" s="1"/>
  <c r="CJ8" i="13"/>
  <c r="CI8" i="13"/>
  <c r="CH8" i="13"/>
  <c r="CG8" i="13"/>
  <c r="CJ7" i="13"/>
  <c r="CH7" i="13"/>
  <c r="CG7" i="13"/>
  <c r="CI7" i="13" s="1"/>
  <c r="CJ6" i="13"/>
  <c r="CH6" i="13"/>
  <c r="CG6" i="13"/>
  <c r="CI6" i="13" s="1"/>
  <c r="BB42" i="13"/>
  <c r="AZ42" i="13"/>
  <c r="AY42" i="13"/>
  <c r="BA42" i="13" s="1"/>
  <c r="BB41" i="13"/>
  <c r="AZ41" i="13"/>
  <c r="AY41" i="13"/>
  <c r="BA41" i="13" s="1"/>
  <c r="BB40" i="13"/>
  <c r="BA40" i="13"/>
  <c r="AZ40" i="13"/>
  <c r="AY40" i="13"/>
  <c r="BB39" i="13"/>
  <c r="AZ39" i="13"/>
  <c r="AZ43" i="13" s="1"/>
  <c r="AY39" i="13"/>
  <c r="BA39" i="13" s="1"/>
  <c r="BB36" i="13"/>
  <c r="BA36" i="13"/>
  <c r="AZ36" i="13"/>
  <c r="AY36" i="13"/>
  <c r="BB35" i="13"/>
  <c r="BB37" i="13" s="1"/>
  <c r="AZ35" i="13"/>
  <c r="AY35" i="13"/>
  <c r="BA35" i="13" s="1"/>
  <c r="BB34" i="13"/>
  <c r="AZ34" i="13"/>
  <c r="AY34" i="13"/>
  <c r="BA34" i="13" s="1"/>
  <c r="BB31" i="13"/>
  <c r="AZ31" i="13"/>
  <c r="AY31" i="13"/>
  <c r="BA31" i="13" s="1"/>
  <c r="BB30" i="13"/>
  <c r="AZ30" i="13"/>
  <c r="AY30" i="13"/>
  <c r="BA30" i="13" s="1"/>
  <c r="BB29" i="13"/>
  <c r="BA29" i="13"/>
  <c r="AZ29" i="13"/>
  <c r="AY29" i="13"/>
  <c r="BB28" i="13"/>
  <c r="AZ28" i="13"/>
  <c r="AY28" i="13"/>
  <c r="BA28" i="13" s="1"/>
  <c r="BB25" i="13"/>
  <c r="BA25" i="13"/>
  <c r="AZ25" i="13"/>
  <c r="AY25" i="13"/>
  <c r="BB24" i="13"/>
  <c r="AZ24" i="13"/>
  <c r="AY24" i="13"/>
  <c r="BA24" i="13" s="1"/>
  <c r="BB23" i="13"/>
  <c r="AZ23" i="13"/>
  <c r="AY23" i="13"/>
  <c r="BA23" i="13" s="1"/>
  <c r="BB22" i="13"/>
  <c r="AZ22" i="13"/>
  <c r="AY22" i="13"/>
  <c r="BA22" i="13" s="1"/>
  <c r="BB21" i="13"/>
  <c r="AZ21" i="13"/>
  <c r="AY21" i="13"/>
  <c r="BA21" i="13" s="1"/>
  <c r="BB18" i="13"/>
  <c r="BA18" i="13"/>
  <c r="AZ18" i="13"/>
  <c r="AY18" i="13"/>
  <c r="BB17" i="13"/>
  <c r="AZ17" i="13"/>
  <c r="AY17" i="13"/>
  <c r="BA17" i="13" s="1"/>
  <c r="BB16" i="13"/>
  <c r="BA16" i="13"/>
  <c r="AZ16" i="13"/>
  <c r="AY16" i="13"/>
  <c r="BB15" i="13"/>
  <c r="AZ15" i="13"/>
  <c r="AY15" i="13"/>
  <c r="BA15" i="13" s="1"/>
  <c r="BB14" i="13"/>
  <c r="AZ14" i="13"/>
  <c r="AY14" i="13"/>
  <c r="BA14" i="13" s="1"/>
  <c r="BB13" i="13"/>
  <c r="AZ13" i="13"/>
  <c r="AY13" i="13"/>
  <c r="BA13" i="13" s="1"/>
  <c r="BB10" i="13"/>
  <c r="AZ10" i="13"/>
  <c r="AY10" i="13"/>
  <c r="BA10" i="13" s="1"/>
  <c r="BB9" i="13"/>
  <c r="BA9" i="13"/>
  <c r="AZ9" i="13"/>
  <c r="AY9" i="13"/>
  <c r="BB8" i="13"/>
  <c r="AZ8" i="13"/>
  <c r="AY8" i="13"/>
  <c r="BA8" i="13" s="1"/>
  <c r="BB7" i="13"/>
  <c r="BA7" i="13"/>
  <c r="AZ7" i="13"/>
  <c r="AY7" i="13"/>
  <c r="BB6" i="13"/>
  <c r="AZ6" i="13"/>
  <c r="AY6" i="13"/>
  <c r="BY27" i="13"/>
  <c r="BW27" i="13"/>
  <c r="BX27" i="13" s="1"/>
  <c r="BV27" i="13"/>
  <c r="BY26" i="13"/>
  <c r="BW26" i="13"/>
  <c r="BV26" i="13"/>
  <c r="BX26" i="13" s="1"/>
  <c r="BY23" i="13"/>
  <c r="BW23" i="13"/>
  <c r="BV23" i="13"/>
  <c r="BX23" i="13" s="1"/>
  <c r="BY22" i="13"/>
  <c r="BX22" i="13"/>
  <c r="BW22" i="13"/>
  <c r="BV22" i="13"/>
  <c r="BV24" i="13" s="1"/>
  <c r="BY19" i="13"/>
  <c r="BW19" i="13"/>
  <c r="BV19" i="13"/>
  <c r="BX19" i="13" s="1"/>
  <c r="BY18" i="13"/>
  <c r="BW18" i="13"/>
  <c r="BV18" i="13"/>
  <c r="BX18" i="13" s="1"/>
  <c r="BY15" i="13"/>
  <c r="BY16" i="13" s="1"/>
  <c r="BW15" i="13"/>
  <c r="BW16" i="13" s="1"/>
  <c r="BV15" i="13"/>
  <c r="BV16" i="13" s="1"/>
  <c r="BY14" i="13"/>
  <c r="BW14" i="13"/>
  <c r="BX14" i="13" s="1"/>
  <c r="BV14" i="13"/>
  <c r="BY11" i="13"/>
  <c r="BW11" i="13"/>
  <c r="BV11" i="13"/>
  <c r="BX11" i="13" s="1"/>
  <c r="BY10" i="13"/>
  <c r="BW10" i="13"/>
  <c r="BV10" i="13"/>
  <c r="BX10" i="13" s="1"/>
  <c r="BY7" i="13"/>
  <c r="BX7" i="13"/>
  <c r="BW7" i="13"/>
  <c r="BV7" i="13"/>
  <c r="BY6" i="13"/>
  <c r="BW6" i="13"/>
  <c r="BV6" i="13"/>
  <c r="BX6" i="13" s="1"/>
  <c r="AQ27" i="13"/>
  <c r="AO27" i="13"/>
  <c r="AN27" i="13"/>
  <c r="AP27" i="13" s="1"/>
  <c r="AQ26" i="13"/>
  <c r="AQ28" i="13" s="1"/>
  <c r="AO26" i="13"/>
  <c r="AN26" i="13"/>
  <c r="AP26" i="13" s="1"/>
  <c r="AQ23" i="13"/>
  <c r="AO23" i="13"/>
  <c r="AP23" i="13" s="1"/>
  <c r="AN23" i="13"/>
  <c r="AQ22" i="13"/>
  <c r="AP22" i="13"/>
  <c r="AO22" i="13"/>
  <c r="AN22" i="13"/>
  <c r="AQ19" i="13"/>
  <c r="AO19" i="13"/>
  <c r="AN19" i="13"/>
  <c r="AP19" i="13" s="1"/>
  <c r="AQ18" i="13"/>
  <c r="AO18" i="13"/>
  <c r="AN18" i="13"/>
  <c r="AP18" i="13" s="1"/>
  <c r="AQ15" i="13"/>
  <c r="AO15" i="13"/>
  <c r="AP15" i="13" s="1"/>
  <c r="AN15" i="13"/>
  <c r="AQ14" i="13"/>
  <c r="AO14" i="13"/>
  <c r="AN14" i="13"/>
  <c r="AP14" i="13" s="1"/>
  <c r="AQ11" i="13"/>
  <c r="AP11" i="13"/>
  <c r="AO11" i="13"/>
  <c r="AN11" i="13"/>
  <c r="AQ10" i="13"/>
  <c r="AP10" i="13"/>
  <c r="AO10" i="13"/>
  <c r="AN10" i="13"/>
  <c r="AN12" i="13" s="1"/>
  <c r="AQ7" i="13"/>
  <c r="AO7" i="13"/>
  <c r="AP7" i="13" s="1"/>
  <c r="AN7" i="13"/>
  <c r="AQ6" i="13"/>
  <c r="AP6" i="13"/>
  <c r="AO6" i="13"/>
  <c r="AN6" i="13"/>
  <c r="CV29" i="12"/>
  <c r="CT29" i="12"/>
  <c r="CS29" i="12"/>
  <c r="CU29" i="12" s="1"/>
  <c r="CV28" i="12"/>
  <c r="CU28" i="12"/>
  <c r="CT28" i="12"/>
  <c r="CS28" i="12"/>
  <c r="CV27" i="12"/>
  <c r="CT27" i="12"/>
  <c r="CS27" i="12"/>
  <c r="CU27" i="12" s="1"/>
  <c r="CV25" i="12"/>
  <c r="CW25" i="12" s="1"/>
  <c r="CU25" i="12"/>
  <c r="CT25" i="12"/>
  <c r="CS25" i="12"/>
  <c r="CV24" i="12"/>
  <c r="CT24" i="12"/>
  <c r="CS24" i="12"/>
  <c r="CU24" i="12" s="1"/>
  <c r="CV23" i="12"/>
  <c r="CT23" i="12"/>
  <c r="CS23" i="12"/>
  <c r="CU23" i="12" s="1"/>
  <c r="CV20" i="12"/>
  <c r="CT20" i="12"/>
  <c r="CS20" i="12"/>
  <c r="CU20" i="12" s="1"/>
  <c r="CV19" i="12"/>
  <c r="CT19" i="12"/>
  <c r="CS19" i="12"/>
  <c r="CU19" i="12" s="1"/>
  <c r="CV18" i="12"/>
  <c r="CU18" i="12"/>
  <c r="CT18" i="12"/>
  <c r="CS18" i="12"/>
  <c r="CV16" i="12"/>
  <c r="CT16" i="12"/>
  <c r="CS16" i="12"/>
  <c r="CU16" i="12" s="1"/>
  <c r="CV15" i="12"/>
  <c r="CU15" i="12"/>
  <c r="CT15" i="12"/>
  <c r="CS15" i="12"/>
  <c r="CV14" i="12"/>
  <c r="CT14" i="12"/>
  <c r="CT37" i="12" s="1"/>
  <c r="CS14" i="12"/>
  <c r="CU14" i="12" s="1"/>
  <c r="CV12" i="12"/>
  <c r="CT12" i="12"/>
  <c r="CS12" i="12"/>
  <c r="CU12" i="12" s="1"/>
  <c r="CV11" i="12"/>
  <c r="CT11" i="12"/>
  <c r="CT46" i="12" s="1"/>
  <c r="CS11" i="12"/>
  <c r="CU11" i="12" s="1"/>
  <c r="CV10" i="12"/>
  <c r="CT10" i="12"/>
  <c r="CT33" i="12" s="1"/>
  <c r="CS10" i="12"/>
  <c r="CS35" i="12" s="1"/>
  <c r="CV8" i="12"/>
  <c r="CU8" i="12"/>
  <c r="CT8" i="12"/>
  <c r="CS8" i="12"/>
  <c r="CV7" i="12"/>
  <c r="CV44" i="12" s="1"/>
  <c r="CT7" i="12"/>
  <c r="CT42" i="12" s="1"/>
  <c r="CS7" i="12"/>
  <c r="CS44" i="12" s="1"/>
  <c r="CV6" i="12"/>
  <c r="CV37" i="12" s="1"/>
  <c r="CU6" i="12"/>
  <c r="CT6" i="12"/>
  <c r="CS6" i="12"/>
  <c r="BN29" i="12"/>
  <c r="BL29" i="12"/>
  <c r="BK29" i="12"/>
  <c r="BM29" i="12" s="1"/>
  <c r="BN28" i="12"/>
  <c r="BL28" i="12"/>
  <c r="BK28" i="12"/>
  <c r="BM28" i="12" s="1"/>
  <c r="BN27" i="12"/>
  <c r="BL27" i="12"/>
  <c r="BK27" i="12"/>
  <c r="BM27" i="12" s="1"/>
  <c r="BN25" i="12"/>
  <c r="BL25" i="12"/>
  <c r="BK25" i="12"/>
  <c r="BM25" i="12" s="1"/>
  <c r="BN24" i="12"/>
  <c r="BO24" i="12" s="1"/>
  <c r="BM24" i="12"/>
  <c r="BL24" i="12"/>
  <c r="BK24" i="12"/>
  <c r="BN23" i="12"/>
  <c r="BL23" i="12"/>
  <c r="BK23" i="12"/>
  <c r="BM23" i="12" s="1"/>
  <c r="BN20" i="12"/>
  <c r="BM20" i="12"/>
  <c r="BL20" i="12"/>
  <c r="BK20" i="12"/>
  <c r="BN19" i="12"/>
  <c r="BL19" i="12"/>
  <c r="BK19" i="12"/>
  <c r="BM19" i="12" s="1"/>
  <c r="BN18" i="12"/>
  <c r="BL18" i="12"/>
  <c r="BK18" i="12"/>
  <c r="BM18" i="12" s="1"/>
  <c r="BN16" i="12"/>
  <c r="BL16" i="12"/>
  <c r="BK16" i="12"/>
  <c r="BM16" i="12" s="1"/>
  <c r="BN15" i="12"/>
  <c r="BL15" i="12"/>
  <c r="BK15" i="12"/>
  <c r="BM15" i="12" s="1"/>
  <c r="BN14" i="12"/>
  <c r="BM14" i="12"/>
  <c r="BL14" i="12"/>
  <c r="BK14" i="12"/>
  <c r="BN12" i="12"/>
  <c r="BL12" i="12"/>
  <c r="BK12" i="12"/>
  <c r="BM12" i="12" s="1"/>
  <c r="BN11" i="12"/>
  <c r="BM11" i="12"/>
  <c r="BL11" i="12"/>
  <c r="BK11" i="12"/>
  <c r="BN10" i="12"/>
  <c r="BL10" i="12"/>
  <c r="BK10" i="12"/>
  <c r="BN8" i="12"/>
  <c r="BL8" i="12"/>
  <c r="BK8" i="12"/>
  <c r="BM8" i="12" s="1"/>
  <c r="BN7" i="12"/>
  <c r="BL7" i="12"/>
  <c r="BK7" i="12"/>
  <c r="BM7" i="12" s="1"/>
  <c r="BN6" i="12"/>
  <c r="BL6" i="12"/>
  <c r="BK6" i="12"/>
  <c r="CJ42" i="12"/>
  <c r="CH42" i="12"/>
  <c r="CG42" i="12"/>
  <c r="CI42" i="12" s="1"/>
  <c r="CJ41" i="12"/>
  <c r="CI41" i="12"/>
  <c r="CH41" i="12"/>
  <c r="CG41" i="12"/>
  <c r="CJ40" i="12"/>
  <c r="CH40" i="12"/>
  <c r="CI40" i="12" s="1"/>
  <c r="CG40" i="12"/>
  <c r="CJ39" i="12"/>
  <c r="CH39" i="12"/>
  <c r="CG39" i="12"/>
  <c r="CI39" i="12" s="1"/>
  <c r="CJ36" i="12"/>
  <c r="CH36" i="12"/>
  <c r="CG36" i="12"/>
  <c r="CI36" i="12" s="1"/>
  <c r="CJ35" i="12"/>
  <c r="CH35" i="12"/>
  <c r="CG35" i="12"/>
  <c r="CI35" i="12" s="1"/>
  <c r="CJ34" i="12"/>
  <c r="CJ37" i="12" s="1"/>
  <c r="CH34" i="12"/>
  <c r="CG34" i="12"/>
  <c r="CI34" i="12" s="1"/>
  <c r="CJ31" i="12"/>
  <c r="CH31" i="12"/>
  <c r="CG31" i="12"/>
  <c r="CI31" i="12" s="1"/>
  <c r="CJ30" i="12"/>
  <c r="CI30" i="12"/>
  <c r="CH30" i="12"/>
  <c r="CG30" i="12"/>
  <c r="CJ29" i="12"/>
  <c r="CH29" i="12"/>
  <c r="CI29" i="12" s="1"/>
  <c r="CG29" i="12"/>
  <c r="CJ28" i="12"/>
  <c r="CH28" i="12"/>
  <c r="CG28" i="12"/>
  <c r="CI28" i="12" s="1"/>
  <c r="CJ25" i="12"/>
  <c r="CH25" i="12"/>
  <c r="CG25" i="12"/>
  <c r="CI25" i="12" s="1"/>
  <c r="CJ24" i="12"/>
  <c r="CH24" i="12"/>
  <c r="CG24" i="12"/>
  <c r="CI24" i="12" s="1"/>
  <c r="CJ23" i="12"/>
  <c r="CH23" i="12"/>
  <c r="CG23" i="12"/>
  <c r="CI23" i="12" s="1"/>
  <c r="CJ22" i="12"/>
  <c r="CH22" i="12"/>
  <c r="CG22" i="12"/>
  <c r="CI22" i="12" s="1"/>
  <c r="CJ21" i="12"/>
  <c r="CJ26" i="12" s="1"/>
  <c r="CI21" i="12"/>
  <c r="CH21" i="12"/>
  <c r="CG21" i="12"/>
  <c r="CJ18" i="12"/>
  <c r="CH18" i="12"/>
  <c r="CH19" i="12" s="1"/>
  <c r="CG18" i="12"/>
  <c r="CJ17" i="12"/>
  <c r="CH17" i="12"/>
  <c r="CG17" i="12"/>
  <c r="CI17" i="12" s="1"/>
  <c r="CJ16" i="12"/>
  <c r="CH16" i="12"/>
  <c r="CG16" i="12"/>
  <c r="CI16" i="12" s="1"/>
  <c r="CJ15" i="12"/>
  <c r="CH15" i="12"/>
  <c r="CG15" i="12"/>
  <c r="CI15" i="12" s="1"/>
  <c r="CJ14" i="12"/>
  <c r="CH14" i="12"/>
  <c r="CG14" i="12"/>
  <c r="CI14" i="12" s="1"/>
  <c r="CJ13" i="12"/>
  <c r="CH13" i="12"/>
  <c r="CG13" i="12"/>
  <c r="CI13" i="12" s="1"/>
  <c r="CJ10" i="12"/>
  <c r="CI10" i="12"/>
  <c r="CH10" i="12"/>
  <c r="CG10" i="12"/>
  <c r="CJ9" i="12"/>
  <c r="CH9" i="12"/>
  <c r="CI9" i="12" s="1"/>
  <c r="CG9" i="12"/>
  <c r="CJ8" i="12"/>
  <c r="CH8" i="12"/>
  <c r="CG8" i="12"/>
  <c r="CI8" i="12" s="1"/>
  <c r="CJ7" i="12"/>
  <c r="CJ11" i="12" s="1"/>
  <c r="CH7" i="12"/>
  <c r="CG7" i="12"/>
  <c r="CI7" i="12" s="1"/>
  <c r="CJ6" i="12"/>
  <c r="CH6" i="12"/>
  <c r="CH11" i="12" s="1"/>
  <c r="CG6" i="12"/>
  <c r="CI6" i="12" s="1"/>
  <c r="BB42" i="12"/>
  <c r="AZ42" i="12"/>
  <c r="AY42" i="12"/>
  <c r="BA42" i="12" s="1"/>
  <c r="BB41" i="12"/>
  <c r="AZ41" i="12"/>
  <c r="AY41" i="12"/>
  <c r="BA41" i="12" s="1"/>
  <c r="BB40" i="12"/>
  <c r="BA40" i="12"/>
  <c r="AZ40" i="12"/>
  <c r="AY40" i="12"/>
  <c r="BB39" i="12"/>
  <c r="AZ39" i="12"/>
  <c r="BA39" i="12" s="1"/>
  <c r="AY39" i="12"/>
  <c r="BB36" i="12"/>
  <c r="AZ36" i="12"/>
  <c r="AY36" i="12"/>
  <c r="BA36" i="12" s="1"/>
  <c r="BB35" i="12"/>
  <c r="AZ35" i="12"/>
  <c r="AY35" i="12"/>
  <c r="BA35" i="12" s="1"/>
  <c r="BB34" i="12"/>
  <c r="AZ34" i="12"/>
  <c r="AZ37" i="12" s="1"/>
  <c r="AY34" i="12"/>
  <c r="BA34" i="12" s="1"/>
  <c r="BB31" i="12"/>
  <c r="AZ31" i="12"/>
  <c r="AY31" i="12"/>
  <c r="BA31" i="12" s="1"/>
  <c r="BB30" i="12"/>
  <c r="AZ30" i="12"/>
  <c r="AY30" i="12"/>
  <c r="BA30" i="12" s="1"/>
  <c r="BB29" i="12"/>
  <c r="BA29" i="12"/>
  <c r="AZ29" i="12"/>
  <c r="AY29" i="12"/>
  <c r="BB28" i="12"/>
  <c r="BB32" i="12" s="1"/>
  <c r="AZ28" i="12"/>
  <c r="BA28" i="12" s="1"/>
  <c r="AY28" i="12"/>
  <c r="BB25" i="12"/>
  <c r="AZ25" i="12"/>
  <c r="AY25" i="12"/>
  <c r="BA25" i="12" s="1"/>
  <c r="BB24" i="12"/>
  <c r="AZ24" i="12"/>
  <c r="AY24" i="12"/>
  <c r="BA24" i="12" s="1"/>
  <c r="BB23" i="12"/>
  <c r="AZ23" i="12"/>
  <c r="AZ26" i="12" s="1"/>
  <c r="AY23" i="12"/>
  <c r="BA23" i="12" s="1"/>
  <c r="BB22" i="12"/>
  <c r="AZ22" i="12"/>
  <c r="AY22" i="12"/>
  <c r="BA22" i="12" s="1"/>
  <c r="BB21" i="12"/>
  <c r="AZ21" i="12"/>
  <c r="AY21" i="12"/>
  <c r="BA21" i="12" s="1"/>
  <c r="BB18" i="12"/>
  <c r="BA18" i="12"/>
  <c r="AZ18" i="12"/>
  <c r="AY18" i="12"/>
  <c r="BB17" i="12"/>
  <c r="AZ17" i="12"/>
  <c r="BA17" i="12" s="1"/>
  <c r="AY17" i="12"/>
  <c r="BB16" i="12"/>
  <c r="AZ16" i="12"/>
  <c r="AY16" i="12"/>
  <c r="BA16" i="12" s="1"/>
  <c r="BB15" i="12"/>
  <c r="AZ15" i="12"/>
  <c r="AY15" i="12"/>
  <c r="BA15" i="12" s="1"/>
  <c r="BB14" i="12"/>
  <c r="AZ14" i="12"/>
  <c r="AY14" i="12"/>
  <c r="BA14" i="12" s="1"/>
  <c r="BB13" i="12"/>
  <c r="AZ13" i="12"/>
  <c r="AY13" i="12"/>
  <c r="BA13" i="12" s="1"/>
  <c r="BB10" i="12"/>
  <c r="AZ10" i="12"/>
  <c r="AY10" i="12"/>
  <c r="BA10" i="12" s="1"/>
  <c r="BB9" i="12"/>
  <c r="BA9" i="12"/>
  <c r="AZ9" i="12"/>
  <c r="AY9" i="12"/>
  <c r="BB8" i="12"/>
  <c r="AZ8" i="12"/>
  <c r="BA8" i="12" s="1"/>
  <c r="AY8" i="12"/>
  <c r="BB7" i="12"/>
  <c r="AZ7" i="12"/>
  <c r="AY7" i="12"/>
  <c r="BA7" i="12" s="1"/>
  <c r="AY11" i="12"/>
  <c r="BB6" i="12"/>
  <c r="AZ6" i="12"/>
  <c r="AY6" i="12"/>
  <c r="BY27" i="12"/>
  <c r="BW27" i="12"/>
  <c r="BW28" i="12" s="1"/>
  <c r="BV27" i="12"/>
  <c r="BX27" i="12" s="1"/>
  <c r="BY26" i="12"/>
  <c r="BX26" i="12"/>
  <c r="BW26" i="12"/>
  <c r="BV26" i="12"/>
  <c r="BY23" i="12"/>
  <c r="BW23" i="12"/>
  <c r="BV23" i="12"/>
  <c r="BX23" i="12" s="1"/>
  <c r="BY22" i="12"/>
  <c r="BW22" i="12"/>
  <c r="BV22" i="12"/>
  <c r="BX22" i="12" s="1"/>
  <c r="BY19" i="12"/>
  <c r="BW19" i="12"/>
  <c r="BV19" i="12"/>
  <c r="BX19" i="12" s="1"/>
  <c r="BY18" i="12"/>
  <c r="BY20" i="12" s="1"/>
  <c r="BX18" i="12"/>
  <c r="BW18" i="12"/>
  <c r="BV18" i="12"/>
  <c r="BY15" i="12"/>
  <c r="BW15" i="12"/>
  <c r="BV15" i="12"/>
  <c r="BX15" i="12" s="1"/>
  <c r="BY14" i="12"/>
  <c r="BY16" i="12" s="1"/>
  <c r="BX14" i="12"/>
  <c r="BW14" i="12"/>
  <c r="BV14" i="12"/>
  <c r="BY11" i="12"/>
  <c r="BW11" i="12"/>
  <c r="BW12" i="12" s="1"/>
  <c r="BV11" i="12"/>
  <c r="BX11" i="12" s="1"/>
  <c r="BY10" i="12"/>
  <c r="BX10" i="12"/>
  <c r="BW10" i="12"/>
  <c r="BV10" i="12"/>
  <c r="BY7" i="12"/>
  <c r="BW7" i="12"/>
  <c r="BV7" i="12"/>
  <c r="BX7" i="12" s="1"/>
  <c r="BY6" i="12"/>
  <c r="BX6" i="12"/>
  <c r="BW6" i="12"/>
  <c r="BV6" i="12"/>
  <c r="AQ27" i="12"/>
  <c r="AO27" i="12"/>
  <c r="AN27" i="12"/>
  <c r="AP27" i="12" s="1"/>
  <c r="AQ26" i="12"/>
  <c r="AP26" i="12"/>
  <c r="AO26" i="12"/>
  <c r="AN26" i="12"/>
  <c r="AQ23" i="12"/>
  <c r="AO23" i="12"/>
  <c r="AN23" i="12"/>
  <c r="AP23" i="12" s="1"/>
  <c r="AQ22" i="12"/>
  <c r="AO22" i="12"/>
  <c r="AN22" i="12"/>
  <c r="AN24" i="12" s="1"/>
  <c r="AQ19" i="12"/>
  <c r="AO19" i="12"/>
  <c r="AN19" i="12"/>
  <c r="AP19" i="12" s="1"/>
  <c r="AQ18" i="12"/>
  <c r="AP18" i="12"/>
  <c r="AO18" i="12"/>
  <c r="AN18" i="12"/>
  <c r="AQ15" i="12"/>
  <c r="AO15" i="12"/>
  <c r="AN15" i="12"/>
  <c r="AP15" i="12" s="1"/>
  <c r="AQ14" i="12"/>
  <c r="AQ16" i="12" s="1"/>
  <c r="AP14" i="12"/>
  <c r="AO14" i="12"/>
  <c r="AN14" i="12"/>
  <c r="AQ11" i="12"/>
  <c r="AO11" i="12"/>
  <c r="AP11" i="12" s="1"/>
  <c r="AN11" i="12"/>
  <c r="AQ10" i="12"/>
  <c r="AQ12" i="12" s="1"/>
  <c r="AP10" i="12"/>
  <c r="AO10" i="12"/>
  <c r="AN10" i="12"/>
  <c r="AQ7" i="12"/>
  <c r="AO7" i="12"/>
  <c r="AN7" i="12"/>
  <c r="AP7" i="12" s="1"/>
  <c r="AQ6" i="12"/>
  <c r="AO6" i="12"/>
  <c r="AN6" i="12"/>
  <c r="AC33" i="7"/>
  <c r="BL46" i="7"/>
  <c r="BM46" i="7"/>
  <c r="BN46" i="7"/>
  <c r="BO46" i="7"/>
  <c r="BK46" i="7"/>
  <c r="BL44" i="7"/>
  <c r="BM44" i="7"/>
  <c r="BN44" i="7"/>
  <c r="BO44" i="7"/>
  <c r="BK44" i="7"/>
  <c r="BL42" i="7"/>
  <c r="BM42" i="7"/>
  <c r="BN42" i="7"/>
  <c r="BO42" i="7"/>
  <c r="BK42" i="7"/>
  <c r="BL37" i="7"/>
  <c r="BM37" i="7"/>
  <c r="BN37" i="7"/>
  <c r="BO37" i="7"/>
  <c r="BL35" i="7"/>
  <c r="BM35" i="7"/>
  <c r="BN35" i="7"/>
  <c r="BO35" i="7"/>
  <c r="BL33" i="7"/>
  <c r="BM33" i="7"/>
  <c r="BN33" i="7"/>
  <c r="BO33" i="7"/>
  <c r="BK37" i="7"/>
  <c r="BK35" i="7"/>
  <c r="BK33" i="7"/>
  <c r="CV29" i="7"/>
  <c r="CT29" i="7"/>
  <c r="CS29" i="7"/>
  <c r="CU29" i="7" s="1"/>
  <c r="CW29" i="7" s="1"/>
  <c r="CV28" i="7"/>
  <c r="CT28" i="7"/>
  <c r="CS28" i="7"/>
  <c r="CU28" i="7" s="1"/>
  <c r="CW28" i="7" s="1"/>
  <c r="CV27" i="7"/>
  <c r="CT27" i="7"/>
  <c r="CS27" i="7"/>
  <c r="CU27" i="7" s="1"/>
  <c r="CW27" i="7" s="1"/>
  <c r="CV25" i="7"/>
  <c r="CU25" i="7"/>
  <c r="CT25" i="7"/>
  <c r="CS25" i="7"/>
  <c r="CV24" i="7"/>
  <c r="CT24" i="7"/>
  <c r="CS24" i="7"/>
  <c r="CU24" i="7" s="1"/>
  <c r="CW24" i="7" s="1"/>
  <c r="CV23" i="7"/>
  <c r="CT23" i="7"/>
  <c r="CS23" i="7"/>
  <c r="CU23" i="7" s="1"/>
  <c r="CV20" i="7"/>
  <c r="CT20" i="7"/>
  <c r="CT44" i="7" s="1"/>
  <c r="CS20" i="7"/>
  <c r="CU20" i="7" s="1"/>
  <c r="CV19" i="7"/>
  <c r="CT19" i="7"/>
  <c r="CS19" i="7"/>
  <c r="CU19" i="7" s="1"/>
  <c r="CW19" i="7" s="1"/>
  <c r="CV18" i="7"/>
  <c r="CT18" i="7"/>
  <c r="CS18" i="7"/>
  <c r="CU18" i="7" s="1"/>
  <c r="CV16" i="7"/>
  <c r="CT16" i="7"/>
  <c r="CT46" i="7" s="1"/>
  <c r="CS16" i="7"/>
  <c r="CU16" i="7" s="1"/>
  <c r="CW16" i="7" s="1"/>
  <c r="CV15" i="7"/>
  <c r="CU15" i="7"/>
  <c r="CT15" i="7"/>
  <c r="CS15" i="7"/>
  <c r="CV14" i="7"/>
  <c r="CT14" i="7"/>
  <c r="CS14" i="7"/>
  <c r="CU14" i="7" s="1"/>
  <c r="CW14" i="7" s="1"/>
  <c r="CV12" i="7"/>
  <c r="CT12" i="7"/>
  <c r="CS12" i="7"/>
  <c r="CU12" i="7" s="1"/>
  <c r="CV11" i="7"/>
  <c r="CW11" i="7" s="1"/>
  <c r="CT11" i="7"/>
  <c r="CS11" i="7"/>
  <c r="CU11" i="7" s="1"/>
  <c r="CV10" i="7"/>
  <c r="CT10" i="7"/>
  <c r="CS10" i="7"/>
  <c r="CU10" i="7" s="1"/>
  <c r="CW10" i="7" s="1"/>
  <c r="CV8" i="7"/>
  <c r="CV42" i="7" s="1"/>
  <c r="CT8" i="7"/>
  <c r="CS8" i="7"/>
  <c r="CS46" i="7" s="1"/>
  <c r="CV7" i="7"/>
  <c r="CT7" i="7"/>
  <c r="CS7" i="7"/>
  <c r="CU7" i="7" s="1"/>
  <c r="CV6" i="7"/>
  <c r="CT6" i="7"/>
  <c r="CS6" i="7"/>
  <c r="CU6" i="7" s="1"/>
  <c r="BK6" i="7"/>
  <c r="BL6" i="7"/>
  <c r="BM6" i="7"/>
  <c r="BN6" i="7"/>
  <c r="BO6" i="7"/>
  <c r="BY27" i="7"/>
  <c r="BW27" i="7"/>
  <c r="BX27" i="7" s="1"/>
  <c r="BV27" i="7"/>
  <c r="BY26" i="7"/>
  <c r="BY28" i="7" s="1"/>
  <c r="BW26" i="7"/>
  <c r="BV26" i="7"/>
  <c r="BX26" i="7" s="1"/>
  <c r="BX28" i="7" s="1"/>
  <c r="BY23" i="7"/>
  <c r="BW23" i="7"/>
  <c r="BW24" i="7" s="1"/>
  <c r="BV23" i="7"/>
  <c r="BX23" i="7" s="1"/>
  <c r="BY22" i="7"/>
  <c r="BY24" i="7" s="1"/>
  <c r="BX22" i="7"/>
  <c r="BW22" i="7"/>
  <c r="BV22" i="7"/>
  <c r="BY19" i="7"/>
  <c r="BW19" i="7"/>
  <c r="BV19" i="7"/>
  <c r="BX19" i="7" s="1"/>
  <c r="BY18" i="7"/>
  <c r="BW18" i="7"/>
  <c r="BV18" i="7"/>
  <c r="BX18" i="7" s="1"/>
  <c r="BY15" i="7"/>
  <c r="BY16" i="7" s="1"/>
  <c r="BW15" i="7"/>
  <c r="BV15" i="7"/>
  <c r="BX15" i="7" s="1"/>
  <c r="BY14" i="7"/>
  <c r="BW14" i="7"/>
  <c r="BX14" i="7" s="1"/>
  <c r="BV14" i="7"/>
  <c r="BY11" i="7"/>
  <c r="BW11" i="7"/>
  <c r="BV11" i="7"/>
  <c r="BX11" i="7" s="1"/>
  <c r="BY10" i="7"/>
  <c r="BW10" i="7"/>
  <c r="BV10" i="7"/>
  <c r="BX10" i="7" s="1"/>
  <c r="BY7" i="7"/>
  <c r="BY8" i="7" s="1"/>
  <c r="BX7" i="7"/>
  <c r="BW7" i="7"/>
  <c r="BV7" i="7"/>
  <c r="BY6" i="7"/>
  <c r="BW6" i="7"/>
  <c r="BW8" i="7" s="1"/>
  <c r="BV6" i="7"/>
  <c r="BX6" i="7" s="1"/>
  <c r="BN29" i="7"/>
  <c r="BN28" i="7"/>
  <c r="BN27" i="7"/>
  <c r="BN25" i="7"/>
  <c r="BN24" i="7"/>
  <c r="BN23" i="7"/>
  <c r="BN20" i="7"/>
  <c r="BN19" i="7"/>
  <c r="BN18" i="7"/>
  <c r="BN16" i="7"/>
  <c r="BN15" i="7"/>
  <c r="BN14" i="7"/>
  <c r="BN12" i="7"/>
  <c r="BN11" i="7"/>
  <c r="BN10" i="7"/>
  <c r="BN8" i="7"/>
  <c r="BN7" i="7"/>
  <c r="BB42" i="7"/>
  <c r="BB41" i="7"/>
  <c r="BB40" i="7"/>
  <c r="BB39" i="7"/>
  <c r="BB36" i="7"/>
  <c r="BB37" i="7" s="1"/>
  <c r="BB35" i="7"/>
  <c r="BB34" i="7"/>
  <c r="BB31" i="7"/>
  <c r="BB30" i="7"/>
  <c r="BB29" i="7"/>
  <c r="BB28" i="7"/>
  <c r="BB32" i="7" s="1"/>
  <c r="BB25" i="7"/>
  <c r="BB24" i="7"/>
  <c r="BB23" i="7"/>
  <c r="BB26" i="7" s="1"/>
  <c r="BB22" i="7"/>
  <c r="BB21" i="7"/>
  <c r="BB18" i="7"/>
  <c r="BB17" i="7"/>
  <c r="BB16" i="7"/>
  <c r="BB15" i="7"/>
  <c r="BB14" i="7"/>
  <c r="BB13" i="7"/>
  <c r="BB10" i="7"/>
  <c r="BB9" i="7"/>
  <c r="BB8" i="7"/>
  <c r="BB7" i="7"/>
  <c r="BB11" i="7" s="1"/>
  <c r="BB6" i="7"/>
  <c r="BV20" i="7"/>
  <c r="BW16" i="7"/>
  <c r="BW12" i="7"/>
  <c r="BL29" i="7"/>
  <c r="BK29" i="7"/>
  <c r="BL28" i="7"/>
  <c r="BK28" i="7"/>
  <c r="BL27" i="7"/>
  <c r="BK27" i="7"/>
  <c r="BL25" i="7"/>
  <c r="BK25" i="7"/>
  <c r="BL24" i="7"/>
  <c r="BK24" i="7"/>
  <c r="BL23" i="7"/>
  <c r="BK23" i="7"/>
  <c r="BL20" i="7"/>
  <c r="BK20" i="7"/>
  <c r="BM20" i="7" s="1"/>
  <c r="BL19" i="7"/>
  <c r="BK19" i="7"/>
  <c r="BL18" i="7"/>
  <c r="BK18" i="7"/>
  <c r="BL16" i="7"/>
  <c r="BK16" i="7"/>
  <c r="BM16" i="7" s="1"/>
  <c r="BL15" i="7"/>
  <c r="BK15" i="7"/>
  <c r="BL14" i="7"/>
  <c r="BK14" i="7"/>
  <c r="BL12" i="7"/>
  <c r="BK12" i="7"/>
  <c r="BL11" i="7"/>
  <c r="BK11" i="7"/>
  <c r="BM11" i="7" s="1"/>
  <c r="BL10" i="7"/>
  <c r="BK10" i="7"/>
  <c r="BL8" i="7"/>
  <c r="BK8" i="7"/>
  <c r="BL7" i="7"/>
  <c r="BK7" i="7"/>
  <c r="BM7" i="7" s="1"/>
  <c r="AZ42" i="7"/>
  <c r="AY42" i="7"/>
  <c r="AZ41" i="7"/>
  <c r="AY41" i="7"/>
  <c r="AZ40" i="7"/>
  <c r="AY40" i="7"/>
  <c r="BA40" i="7" s="1"/>
  <c r="AZ39" i="7"/>
  <c r="AZ43" i="7" s="1"/>
  <c r="AY39" i="7"/>
  <c r="AY43" i="7" s="1"/>
  <c r="AZ36" i="7"/>
  <c r="AY36" i="7"/>
  <c r="BA36" i="7" s="1"/>
  <c r="AZ35" i="7"/>
  <c r="AY35" i="7"/>
  <c r="AZ34" i="7"/>
  <c r="AZ37" i="7" s="1"/>
  <c r="AY34" i="7"/>
  <c r="AY37" i="7" s="1"/>
  <c r="AZ31" i="7"/>
  <c r="AY31" i="7"/>
  <c r="AZ30" i="7"/>
  <c r="AY30" i="7"/>
  <c r="AZ29" i="7"/>
  <c r="AY29" i="7"/>
  <c r="AZ28" i="7"/>
  <c r="AZ32" i="7" s="1"/>
  <c r="AY28" i="7"/>
  <c r="AZ25" i="7"/>
  <c r="AY25" i="7"/>
  <c r="AZ24" i="7"/>
  <c r="AY24" i="7"/>
  <c r="BA24" i="7" s="1"/>
  <c r="AZ23" i="7"/>
  <c r="AZ26" i="7" s="1"/>
  <c r="AY23" i="7"/>
  <c r="BA23" i="7" s="1"/>
  <c r="AZ22" i="7"/>
  <c r="AY22" i="7"/>
  <c r="AZ21" i="7"/>
  <c r="AY21" i="7"/>
  <c r="AZ18" i="7"/>
  <c r="AY18" i="7"/>
  <c r="AZ17" i="7"/>
  <c r="AY17" i="7"/>
  <c r="BA17" i="7" s="1"/>
  <c r="AZ16" i="7"/>
  <c r="AY16" i="7"/>
  <c r="AZ15" i="7"/>
  <c r="AY15" i="7"/>
  <c r="BA15" i="7" s="1"/>
  <c r="AZ14" i="7"/>
  <c r="AZ19" i="7" s="1"/>
  <c r="AY14" i="7"/>
  <c r="BA14" i="7" s="1"/>
  <c r="AZ13" i="7"/>
  <c r="AY13" i="7"/>
  <c r="AZ10" i="7"/>
  <c r="AY10" i="7"/>
  <c r="AZ9" i="7"/>
  <c r="AY9" i="7"/>
  <c r="AZ8" i="7"/>
  <c r="AY8" i="7"/>
  <c r="BA8" i="7" s="1"/>
  <c r="AZ7" i="7"/>
  <c r="AZ11" i="7" s="1"/>
  <c r="AY7" i="7"/>
  <c r="AY11" i="7" s="1"/>
  <c r="AZ6" i="7"/>
  <c r="AY6" i="7"/>
  <c r="AO27" i="7"/>
  <c r="AN27" i="7"/>
  <c r="AO26" i="7"/>
  <c r="AO28" i="7" s="1"/>
  <c r="AN26" i="7"/>
  <c r="AO23" i="7"/>
  <c r="AN23" i="7"/>
  <c r="AO22" i="7"/>
  <c r="AN22" i="7"/>
  <c r="AO19" i="7"/>
  <c r="AN19" i="7"/>
  <c r="AN20" i="7" s="1"/>
  <c r="AO18" i="7"/>
  <c r="AN18" i="7"/>
  <c r="AO15" i="7"/>
  <c r="AN15" i="7"/>
  <c r="AN16" i="7" s="1"/>
  <c r="AO14" i="7"/>
  <c r="AO16" i="7" s="1"/>
  <c r="AN14" i="7"/>
  <c r="AO11" i="7"/>
  <c r="AN11" i="7"/>
  <c r="AP11" i="7" s="1"/>
  <c r="AO10" i="7"/>
  <c r="AN10" i="7"/>
  <c r="AO7" i="7"/>
  <c r="AP7" i="7" s="1"/>
  <c r="AO6" i="7"/>
  <c r="AN7" i="7"/>
  <c r="AN6" i="7"/>
  <c r="AQ27" i="7"/>
  <c r="AQ26" i="7"/>
  <c r="AQ23" i="7"/>
  <c r="AQ22" i="7"/>
  <c r="AQ19" i="7"/>
  <c r="AQ18" i="7"/>
  <c r="AQ15" i="7"/>
  <c r="AQ14" i="7"/>
  <c r="AQ11" i="7"/>
  <c r="AQ10" i="7"/>
  <c r="AQ7" i="7"/>
  <c r="AQ6" i="7"/>
  <c r="AG35" i="14"/>
  <c r="AD37" i="14"/>
  <c r="AE37" i="14"/>
  <c r="AF37" i="14"/>
  <c r="AG37" i="14"/>
  <c r="AC37" i="14"/>
  <c r="AD35" i="14"/>
  <c r="AE35" i="14"/>
  <c r="AF35" i="14"/>
  <c r="AC35" i="14"/>
  <c r="AD33" i="14"/>
  <c r="AE33" i="14"/>
  <c r="AF33" i="14"/>
  <c r="AG33" i="14"/>
  <c r="AC33" i="14"/>
  <c r="AC42" i="7"/>
  <c r="BY28" i="14"/>
  <c r="BY12" i="14"/>
  <c r="AF29" i="14"/>
  <c r="AF28" i="14"/>
  <c r="AF27" i="14"/>
  <c r="AF25" i="14"/>
  <c r="AF24" i="14"/>
  <c r="AF23" i="14"/>
  <c r="AF20" i="14"/>
  <c r="AF19" i="14"/>
  <c r="AF18" i="14"/>
  <c r="AE18" i="14"/>
  <c r="AF16" i="14"/>
  <c r="AF15" i="14"/>
  <c r="AF14" i="14"/>
  <c r="AF12" i="14"/>
  <c r="AF11" i="14"/>
  <c r="AF10" i="14"/>
  <c r="AF8" i="14"/>
  <c r="AF7" i="14"/>
  <c r="AF6" i="14"/>
  <c r="T42" i="14"/>
  <c r="T41" i="14"/>
  <c r="T40" i="14"/>
  <c r="T39" i="14"/>
  <c r="T36" i="14"/>
  <c r="T35" i="14"/>
  <c r="T34" i="14"/>
  <c r="T31" i="14"/>
  <c r="T30" i="14"/>
  <c r="T29" i="14"/>
  <c r="T28" i="14"/>
  <c r="T25" i="14"/>
  <c r="T26" i="14" s="1"/>
  <c r="T24" i="14"/>
  <c r="S24" i="14"/>
  <c r="T23" i="14"/>
  <c r="T22" i="14"/>
  <c r="T21" i="14"/>
  <c r="T18" i="14"/>
  <c r="T17" i="14"/>
  <c r="T16" i="14"/>
  <c r="T15" i="14"/>
  <c r="S15" i="14"/>
  <c r="T14" i="14"/>
  <c r="S14" i="14"/>
  <c r="T13" i="14"/>
  <c r="T10" i="14"/>
  <c r="T9" i="14"/>
  <c r="T8" i="14"/>
  <c r="T7" i="14"/>
  <c r="T11" i="14" s="1"/>
  <c r="S7" i="14"/>
  <c r="T6" i="14"/>
  <c r="I27" i="14"/>
  <c r="I26" i="14"/>
  <c r="I28" i="14" s="1"/>
  <c r="I23" i="14"/>
  <c r="I22" i="14"/>
  <c r="I19" i="14"/>
  <c r="I18" i="14"/>
  <c r="I15" i="14"/>
  <c r="I14" i="14"/>
  <c r="I11" i="14"/>
  <c r="I10" i="14"/>
  <c r="I8" i="14"/>
  <c r="I7" i="14"/>
  <c r="I6" i="14"/>
  <c r="H7" i="14"/>
  <c r="R42" i="14"/>
  <c r="Q42" i="14"/>
  <c r="R41" i="14"/>
  <c r="R43" i="14" s="1"/>
  <c r="Q41" i="14"/>
  <c r="R40" i="14"/>
  <c r="Q40" i="14"/>
  <c r="R39" i="14"/>
  <c r="Q39" i="14"/>
  <c r="Q43" i="14" s="1"/>
  <c r="R36" i="14"/>
  <c r="Q36" i="14"/>
  <c r="S36" i="14" s="1"/>
  <c r="R35" i="14"/>
  <c r="Q35" i="14"/>
  <c r="S35" i="14" s="1"/>
  <c r="AY37" i="14"/>
  <c r="R34" i="14"/>
  <c r="Q34" i="14"/>
  <c r="S34" i="14" s="1"/>
  <c r="BR31" i="14"/>
  <c r="AJ31" i="14"/>
  <c r="R31" i="14"/>
  <c r="S31" i="14" s="1"/>
  <c r="Q31" i="14"/>
  <c r="B31" i="14"/>
  <c r="R30" i="14"/>
  <c r="Q30" i="14"/>
  <c r="AD29" i="14"/>
  <c r="AC29" i="14"/>
  <c r="R29" i="14"/>
  <c r="Q29" i="14"/>
  <c r="AD28" i="14"/>
  <c r="AC28" i="14"/>
  <c r="AE28" i="14" s="1"/>
  <c r="R28" i="14"/>
  <c r="R32" i="14" s="1"/>
  <c r="Q28" i="14"/>
  <c r="CQ27" i="14"/>
  <c r="CP27" i="14"/>
  <c r="BS27" i="14"/>
  <c r="BI27" i="14"/>
  <c r="AK27" i="14"/>
  <c r="AA27" i="14"/>
  <c r="G27" i="14"/>
  <c r="F27" i="14"/>
  <c r="C27" i="14"/>
  <c r="BS26" i="14"/>
  <c r="AK26" i="14"/>
  <c r="G26" i="14"/>
  <c r="G28" i="14" s="1"/>
  <c r="F26" i="14"/>
  <c r="C26" i="14"/>
  <c r="CW25" i="14"/>
  <c r="BS25" i="14"/>
  <c r="AK25" i="14"/>
  <c r="BH27" i="14" s="1"/>
  <c r="AD25" i="14"/>
  <c r="AC25" i="14"/>
  <c r="R25" i="14"/>
  <c r="Q25" i="14"/>
  <c r="S25" i="14" s="1"/>
  <c r="C25" i="14"/>
  <c r="Z27" i="14" s="1"/>
  <c r="AD24" i="14"/>
  <c r="AC24" i="14"/>
  <c r="R24" i="14"/>
  <c r="Q24" i="14"/>
  <c r="CQ23" i="14"/>
  <c r="CP23" i="14"/>
  <c r="BS23" i="14"/>
  <c r="BI23" i="14"/>
  <c r="BH23" i="14"/>
  <c r="AK23" i="14"/>
  <c r="AC23" i="14"/>
  <c r="AA23" i="14"/>
  <c r="AD23" i="14" s="1"/>
  <c r="AE23" i="14" s="1"/>
  <c r="R23" i="14"/>
  <c r="Q23" i="14"/>
  <c r="S23" i="14" s="1"/>
  <c r="G23" i="14"/>
  <c r="H23" i="14" s="1"/>
  <c r="F23" i="14"/>
  <c r="C23" i="14"/>
  <c r="BS22" i="14"/>
  <c r="AK22" i="14"/>
  <c r="R22" i="14"/>
  <c r="Q22" i="14"/>
  <c r="G22" i="14"/>
  <c r="F22" i="14"/>
  <c r="C22" i="14"/>
  <c r="BS21" i="14"/>
  <c r="AK21" i="14"/>
  <c r="R21" i="14"/>
  <c r="S21" i="14" s="1"/>
  <c r="Q21" i="14"/>
  <c r="C21" i="14"/>
  <c r="Z23" i="14" s="1"/>
  <c r="AD20" i="14"/>
  <c r="AC20" i="14"/>
  <c r="AE20" i="14" s="1"/>
  <c r="G20" i="14"/>
  <c r="BS19" i="14"/>
  <c r="AK19" i="14"/>
  <c r="AD19" i="14"/>
  <c r="AE19" i="14" s="1"/>
  <c r="AC19" i="14"/>
  <c r="G19" i="14"/>
  <c r="F19" i="14"/>
  <c r="C19" i="14"/>
  <c r="CQ18" i="14"/>
  <c r="CP18" i="14"/>
  <c r="BS18" i="14"/>
  <c r="BI18" i="14"/>
  <c r="AK18" i="14"/>
  <c r="AD18" i="14"/>
  <c r="AC18" i="14"/>
  <c r="AA18" i="14"/>
  <c r="R18" i="14"/>
  <c r="Q18" i="14"/>
  <c r="I20" i="14"/>
  <c r="G18" i="14"/>
  <c r="H18" i="14" s="1"/>
  <c r="F18" i="14"/>
  <c r="F20" i="14" s="1"/>
  <c r="C18" i="14"/>
  <c r="BS17" i="14"/>
  <c r="AK17" i="14"/>
  <c r="BH18" i="14" s="1"/>
  <c r="R17" i="14"/>
  <c r="Q17" i="14"/>
  <c r="C17" i="14"/>
  <c r="Z18" i="14" s="1"/>
  <c r="AD16" i="14"/>
  <c r="AC16" i="14"/>
  <c r="R16" i="14"/>
  <c r="Q16" i="14"/>
  <c r="S16" i="14" s="1"/>
  <c r="BS15" i="14"/>
  <c r="AK15" i="14"/>
  <c r="AD15" i="14"/>
  <c r="AC15" i="14"/>
  <c r="R15" i="14"/>
  <c r="Q15" i="14"/>
  <c r="G15" i="14"/>
  <c r="H15" i="14" s="1"/>
  <c r="F15" i="14"/>
  <c r="C15" i="14"/>
  <c r="CQ14" i="14"/>
  <c r="CP14" i="14"/>
  <c r="BW16" i="14"/>
  <c r="BS14" i="14"/>
  <c r="BI14" i="14"/>
  <c r="AK14" i="14"/>
  <c r="AD14" i="14"/>
  <c r="AC14" i="14"/>
  <c r="AA14" i="14"/>
  <c r="R14" i="14"/>
  <c r="Q14" i="14"/>
  <c r="G14" i="14"/>
  <c r="F14" i="14"/>
  <c r="C14" i="14"/>
  <c r="BS13" i="14"/>
  <c r="AK13" i="14"/>
  <c r="BH14" i="14" s="1"/>
  <c r="R13" i="14"/>
  <c r="Q13" i="14"/>
  <c r="C13" i="14"/>
  <c r="Z14" i="14" s="1"/>
  <c r="AD12" i="14"/>
  <c r="AC12" i="14"/>
  <c r="BS11" i="14"/>
  <c r="AK11" i="14"/>
  <c r="AD11" i="14"/>
  <c r="AC11" i="14"/>
  <c r="AE11" i="14" s="1"/>
  <c r="G11" i="14"/>
  <c r="F11" i="14"/>
  <c r="C11" i="14"/>
  <c r="CQ10" i="14"/>
  <c r="CP10" i="14"/>
  <c r="BS10" i="14"/>
  <c r="BI10" i="14"/>
  <c r="AK10" i="14"/>
  <c r="AA10" i="14"/>
  <c r="R10" i="14"/>
  <c r="Q10" i="14"/>
  <c r="G10" i="14"/>
  <c r="G12" i="14" s="1"/>
  <c r="F10" i="14"/>
  <c r="C10" i="14"/>
  <c r="BS9" i="14"/>
  <c r="AK9" i="14"/>
  <c r="BH10" i="14" s="1"/>
  <c r="R9" i="14"/>
  <c r="Q9" i="14"/>
  <c r="C9" i="14"/>
  <c r="Z10" i="14" s="1"/>
  <c r="AD8" i="14"/>
  <c r="AC8" i="14"/>
  <c r="R8" i="14"/>
  <c r="Q8" i="14"/>
  <c r="BS7" i="14"/>
  <c r="AK7" i="14"/>
  <c r="AD7" i="14"/>
  <c r="AC7" i="14"/>
  <c r="R7" i="14"/>
  <c r="Q7" i="14"/>
  <c r="G7" i="14"/>
  <c r="F7" i="14"/>
  <c r="C7" i="14"/>
  <c r="CQ6" i="14"/>
  <c r="CP6" i="14"/>
  <c r="BW8" i="14"/>
  <c r="BV8" i="14"/>
  <c r="BS6" i="14"/>
  <c r="BI6" i="14"/>
  <c r="AK6" i="14"/>
  <c r="AA6" i="14"/>
  <c r="Z6" i="14"/>
  <c r="R6" i="14"/>
  <c r="Q6" i="14"/>
  <c r="G6" i="14"/>
  <c r="F6" i="14"/>
  <c r="F8" i="14" s="1"/>
  <c r="C6" i="14"/>
  <c r="BS5" i="14"/>
  <c r="AK5" i="14"/>
  <c r="BH6" i="14" s="1"/>
  <c r="C5" i="14"/>
  <c r="AD37" i="13"/>
  <c r="AE37" i="13"/>
  <c r="AF37" i="13"/>
  <c r="AG37" i="13"/>
  <c r="AC37" i="13"/>
  <c r="AC35" i="13"/>
  <c r="AC33" i="13"/>
  <c r="AD35" i="13"/>
  <c r="AE35" i="13"/>
  <c r="AF35" i="13"/>
  <c r="AG35" i="13"/>
  <c r="AD33" i="13"/>
  <c r="AE33" i="13"/>
  <c r="AF33" i="13"/>
  <c r="AG33" i="13"/>
  <c r="T42" i="13"/>
  <c r="R42" i="13"/>
  <c r="Q42" i="13"/>
  <c r="S42" i="13" s="1"/>
  <c r="T41" i="13"/>
  <c r="R41" i="13"/>
  <c r="Q41" i="13"/>
  <c r="S41" i="13" s="1"/>
  <c r="T40" i="13"/>
  <c r="R40" i="13"/>
  <c r="Q40" i="13"/>
  <c r="T39" i="13"/>
  <c r="T43" i="13" s="1"/>
  <c r="R39" i="13"/>
  <c r="Q39" i="13"/>
  <c r="S39" i="13" s="1"/>
  <c r="T36" i="13"/>
  <c r="R36" i="13"/>
  <c r="Q36" i="13"/>
  <c r="S36" i="13" s="1"/>
  <c r="CJ37" i="13"/>
  <c r="T35" i="13"/>
  <c r="R35" i="13"/>
  <c r="Q35" i="13"/>
  <c r="T34" i="13"/>
  <c r="R34" i="13"/>
  <c r="Q34" i="13"/>
  <c r="Q37" i="13" s="1"/>
  <c r="BR31" i="13"/>
  <c r="AJ31" i="13"/>
  <c r="T31" i="13"/>
  <c r="R31" i="13"/>
  <c r="S31" i="13" s="1"/>
  <c r="Q31" i="13"/>
  <c r="B31" i="13"/>
  <c r="T30" i="13"/>
  <c r="R30" i="13"/>
  <c r="Q30" i="13"/>
  <c r="AF29" i="13"/>
  <c r="AD29" i="13"/>
  <c r="AC29" i="13"/>
  <c r="AE29" i="13" s="1"/>
  <c r="AG29" i="13" s="1"/>
  <c r="T29" i="13"/>
  <c r="R29" i="13"/>
  <c r="Q29" i="13"/>
  <c r="S29" i="13" s="1"/>
  <c r="AF28" i="13"/>
  <c r="AD28" i="13"/>
  <c r="AC28" i="13"/>
  <c r="T28" i="13"/>
  <c r="R28" i="13"/>
  <c r="R32" i="13" s="1"/>
  <c r="Q28" i="13"/>
  <c r="S28" i="13" s="1"/>
  <c r="CQ27" i="13"/>
  <c r="BS27" i="13"/>
  <c r="BI27" i="13"/>
  <c r="BH27" i="13"/>
  <c r="AK27" i="13"/>
  <c r="AA27" i="13"/>
  <c r="Z27" i="13"/>
  <c r="I27" i="13"/>
  <c r="G27" i="13"/>
  <c r="F27" i="13"/>
  <c r="F28" i="13" s="1"/>
  <c r="C27" i="13"/>
  <c r="BS26" i="13"/>
  <c r="AK26" i="13"/>
  <c r="I26" i="13"/>
  <c r="G26" i="13"/>
  <c r="G28" i="13" s="1"/>
  <c r="F26" i="13"/>
  <c r="C26" i="13"/>
  <c r="BS25" i="13"/>
  <c r="CP27" i="13" s="1"/>
  <c r="AK25" i="13"/>
  <c r="AF25" i="13"/>
  <c r="AD25" i="13"/>
  <c r="AC25" i="13"/>
  <c r="AE25" i="13" s="1"/>
  <c r="T25" i="13"/>
  <c r="R25" i="13"/>
  <c r="Q25" i="13"/>
  <c r="S25" i="13" s="1"/>
  <c r="C25" i="13"/>
  <c r="AF24" i="13"/>
  <c r="AD24" i="13"/>
  <c r="AC24" i="13"/>
  <c r="AE24" i="13" s="1"/>
  <c r="T24" i="13"/>
  <c r="R24" i="13"/>
  <c r="Q24" i="13"/>
  <c r="S24" i="13" s="1"/>
  <c r="CQ23" i="13"/>
  <c r="BS23" i="13"/>
  <c r="BI23" i="13"/>
  <c r="BH23" i="13"/>
  <c r="AK23" i="13"/>
  <c r="AF23" i="13"/>
  <c r="AA23" i="13"/>
  <c r="AD23" i="13" s="1"/>
  <c r="T23" i="13"/>
  <c r="R23" i="13"/>
  <c r="R26" i="13" s="1"/>
  <c r="Q23" i="13"/>
  <c r="Q26" i="13" s="1"/>
  <c r="I23" i="13"/>
  <c r="I24" i="13" s="1"/>
  <c r="G23" i="13"/>
  <c r="F23" i="13"/>
  <c r="C23" i="13"/>
  <c r="BY24" i="13"/>
  <c r="BS22" i="13"/>
  <c r="AK22" i="13"/>
  <c r="T22" i="13"/>
  <c r="R22" i="13"/>
  <c r="S22" i="13" s="1"/>
  <c r="Q22" i="13"/>
  <c r="I22" i="13"/>
  <c r="G22" i="13"/>
  <c r="F22" i="13"/>
  <c r="C22" i="13"/>
  <c r="BS21" i="13"/>
  <c r="CP23" i="13" s="1"/>
  <c r="AK21" i="13"/>
  <c r="T21" i="13"/>
  <c r="R21" i="13"/>
  <c r="Q21" i="13"/>
  <c r="C21" i="13"/>
  <c r="Z23" i="13" s="1"/>
  <c r="AF20" i="13"/>
  <c r="AD20" i="13"/>
  <c r="AC20" i="13"/>
  <c r="AE20" i="13" s="1"/>
  <c r="AG20" i="13" s="1"/>
  <c r="I20" i="13"/>
  <c r="G20" i="13"/>
  <c r="BS19" i="13"/>
  <c r="AK19" i="13"/>
  <c r="AF19" i="13"/>
  <c r="AD19" i="13"/>
  <c r="AC19" i="13"/>
  <c r="AE19" i="13" s="1"/>
  <c r="I19" i="13"/>
  <c r="G19" i="13"/>
  <c r="F19" i="13"/>
  <c r="C19" i="13"/>
  <c r="CQ18" i="13"/>
  <c r="BS18" i="13"/>
  <c r="BI18" i="13"/>
  <c r="BH18" i="13"/>
  <c r="AK18" i="13"/>
  <c r="AA18" i="13"/>
  <c r="Z18" i="13"/>
  <c r="T18" i="13"/>
  <c r="R18" i="13"/>
  <c r="Q18" i="13"/>
  <c r="I18" i="13"/>
  <c r="G18" i="13"/>
  <c r="F18" i="13"/>
  <c r="C18" i="13"/>
  <c r="BS17" i="13"/>
  <c r="CP18" i="13" s="1"/>
  <c r="AK17" i="13"/>
  <c r="T17" i="13"/>
  <c r="R17" i="13"/>
  <c r="Q17" i="13"/>
  <c r="S17" i="13" s="1"/>
  <c r="C17" i="13"/>
  <c r="AF16" i="13"/>
  <c r="AD16" i="13"/>
  <c r="AE16" i="13" s="1"/>
  <c r="AC16" i="13"/>
  <c r="T16" i="13"/>
  <c r="R16" i="13"/>
  <c r="Q16" i="13"/>
  <c r="S16" i="13" s="1"/>
  <c r="BS15" i="13"/>
  <c r="AK15" i="13"/>
  <c r="AF15" i="13"/>
  <c r="AD15" i="13"/>
  <c r="AC15" i="13"/>
  <c r="AE15" i="13" s="1"/>
  <c r="T15" i="13"/>
  <c r="R15" i="13"/>
  <c r="Q15" i="13"/>
  <c r="I15" i="13"/>
  <c r="G15" i="13"/>
  <c r="F15" i="13"/>
  <c r="C15" i="13"/>
  <c r="CQ14" i="13"/>
  <c r="CP14" i="13"/>
  <c r="BS14" i="13"/>
  <c r="BI14" i="13"/>
  <c r="AQ16" i="13"/>
  <c r="AK14" i="13"/>
  <c r="AF14" i="13"/>
  <c r="AD14" i="13"/>
  <c r="AC14" i="13"/>
  <c r="AE14" i="13" s="1"/>
  <c r="AA14" i="13"/>
  <c r="T14" i="13"/>
  <c r="R14" i="13"/>
  <c r="Q14" i="13"/>
  <c r="S14" i="13" s="1"/>
  <c r="I14" i="13"/>
  <c r="G14" i="13"/>
  <c r="G16" i="13" s="1"/>
  <c r="F14" i="13"/>
  <c r="C14" i="13"/>
  <c r="BS13" i="13"/>
  <c r="AK13" i="13"/>
  <c r="BH14" i="13" s="1"/>
  <c r="T13" i="13"/>
  <c r="R13" i="13"/>
  <c r="Q13" i="13"/>
  <c r="C13" i="13"/>
  <c r="Z14" i="13" s="1"/>
  <c r="AF12" i="13"/>
  <c r="AD12" i="13"/>
  <c r="AC12" i="13"/>
  <c r="AE12" i="13" s="1"/>
  <c r="AG12" i="13" s="1"/>
  <c r="BS11" i="13"/>
  <c r="AK11" i="13"/>
  <c r="AF11" i="13"/>
  <c r="AD11" i="13"/>
  <c r="AC11" i="13"/>
  <c r="AE11" i="13" s="1"/>
  <c r="I11" i="13"/>
  <c r="G11" i="13"/>
  <c r="F11" i="13"/>
  <c r="H11" i="13" s="1"/>
  <c r="C11" i="13"/>
  <c r="CQ10" i="13"/>
  <c r="CP10" i="13"/>
  <c r="BY12" i="13"/>
  <c r="BW12" i="13"/>
  <c r="BS10" i="13"/>
  <c r="BI10" i="13"/>
  <c r="AK10" i="13"/>
  <c r="AF10" i="13"/>
  <c r="AD10" i="13"/>
  <c r="AA10" i="13"/>
  <c r="AC10" i="13" s="1"/>
  <c r="AE10" i="13" s="1"/>
  <c r="Z10" i="13"/>
  <c r="T10" i="13"/>
  <c r="R10" i="13"/>
  <c r="Q10" i="13"/>
  <c r="S10" i="13" s="1"/>
  <c r="I10" i="13"/>
  <c r="I12" i="13" s="1"/>
  <c r="G10" i="13"/>
  <c r="G12" i="13" s="1"/>
  <c r="F10" i="13"/>
  <c r="C10" i="13"/>
  <c r="BS9" i="13"/>
  <c r="AK9" i="13"/>
  <c r="BH10" i="13" s="1"/>
  <c r="T9" i="13"/>
  <c r="R9" i="13"/>
  <c r="Q9" i="13"/>
  <c r="C9" i="13"/>
  <c r="AQ8" i="13"/>
  <c r="AF8" i="13"/>
  <c r="AD8" i="13"/>
  <c r="AC8" i="13"/>
  <c r="T8" i="13"/>
  <c r="R8" i="13"/>
  <c r="Q8" i="13"/>
  <c r="BS7" i="13"/>
  <c r="AO8" i="13"/>
  <c r="AN8" i="13"/>
  <c r="AK7" i="13"/>
  <c r="AF7" i="13"/>
  <c r="AD7" i="13"/>
  <c r="AC7" i="13"/>
  <c r="T7" i="13"/>
  <c r="R7" i="13"/>
  <c r="Q7" i="13"/>
  <c r="I7" i="13"/>
  <c r="G7" i="13"/>
  <c r="F7" i="13"/>
  <c r="C7" i="13"/>
  <c r="CQ6" i="13"/>
  <c r="BS6" i="13"/>
  <c r="BI6" i="13"/>
  <c r="BH6" i="13"/>
  <c r="BB11" i="13"/>
  <c r="BA6" i="13"/>
  <c r="AK6" i="13"/>
  <c r="AA6" i="13"/>
  <c r="Z6" i="13"/>
  <c r="T6" i="13"/>
  <c r="R6" i="13"/>
  <c r="Q6" i="13"/>
  <c r="S6" i="13" s="1"/>
  <c r="I6" i="13"/>
  <c r="I8" i="13" s="1"/>
  <c r="G6" i="13"/>
  <c r="G8" i="13" s="1"/>
  <c r="F6" i="13"/>
  <c r="C6" i="13"/>
  <c r="BS5" i="13"/>
  <c r="CP6" i="13" s="1"/>
  <c r="AK5" i="13"/>
  <c r="C5" i="13"/>
  <c r="CV46" i="12"/>
  <c r="CT44" i="12"/>
  <c r="CT35" i="12"/>
  <c r="CV35" i="12"/>
  <c r="AD46" i="12"/>
  <c r="AE46" i="12"/>
  <c r="AF46" i="12"/>
  <c r="AG46" i="12"/>
  <c r="AC46" i="12"/>
  <c r="AD44" i="12"/>
  <c r="AE44" i="12"/>
  <c r="AF44" i="12"/>
  <c r="AG44" i="12"/>
  <c r="AC44" i="12"/>
  <c r="AD42" i="12"/>
  <c r="AE42" i="12"/>
  <c r="AF42" i="12"/>
  <c r="AG42" i="12"/>
  <c r="AC42" i="12"/>
  <c r="AD37" i="12"/>
  <c r="AE37" i="12"/>
  <c r="AF37" i="12"/>
  <c r="AG37" i="12"/>
  <c r="AC37" i="12"/>
  <c r="AD35" i="12"/>
  <c r="AE35" i="12"/>
  <c r="AF35" i="12"/>
  <c r="AG35" i="12"/>
  <c r="AC35" i="12"/>
  <c r="AD33" i="12"/>
  <c r="AE33" i="12"/>
  <c r="AF33" i="12"/>
  <c r="AG33" i="12"/>
  <c r="AC33" i="12"/>
  <c r="T42" i="12"/>
  <c r="R42" i="12"/>
  <c r="Q42" i="12"/>
  <c r="S42" i="12" s="1"/>
  <c r="T41" i="12"/>
  <c r="R41" i="12"/>
  <c r="Q41" i="12"/>
  <c r="S41" i="12" s="1"/>
  <c r="T40" i="12"/>
  <c r="R40" i="12"/>
  <c r="Q40" i="12"/>
  <c r="CG43" i="12"/>
  <c r="T39" i="12"/>
  <c r="T43" i="12" s="1"/>
  <c r="R39" i="12"/>
  <c r="R43" i="12" s="1"/>
  <c r="Q39" i="12"/>
  <c r="S39" i="12" s="1"/>
  <c r="T36" i="12"/>
  <c r="R36" i="12"/>
  <c r="S36" i="12" s="1"/>
  <c r="Q36" i="12"/>
  <c r="T35" i="12"/>
  <c r="R35" i="12"/>
  <c r="Q35" i="12"/>
  <c r="T34" i="12"/>
  <c r="R34" i="12"/>
  <c r="R37" i="12" s="1"/>
  <c r="Q34" i="12"/>
  <c r="S34" i="12" s="1"/>
  <c r="BR31" i="12"/>
  <c r="AJ31" i="12"/>
  <c r="T31" i="12"/>
  <c r="R31" i="12"/>
  <c r="Q31" i="12"/>
  <c r="S31" i="12" s="1"/>
  <c r="B31" i="12"/>
  <c r="T30" i="12"/>
  <c r="R30" i="12"/>
  <c r="Q30" i="12"/>
  <c r="S30" i="12" s="1"/>
  <c r="AF29" i="12"/>
  <c r="AD29" i="12"/>
  <c r="AC29" i="12"/>
  <c r="AE29" i="12" s="1"/>
  <c r="AG29" i="12" s="1"/>
  <c r="T29" i="12"/>
  <c r="R29" i="12"/>
  <c r="Q29" i="12"/>
  <c r="S29" i="12" s="1"/>
  <c r="AF28" i="12"/>
  <c r="AD28" i="12"/>
  <c r="AC28" i="12"/>
  <c r="AE28" i="12" s="1"/>
  <c r="T28" i="12"/>
  <c r="T32" i="12" s="1"/>
  <c r="R28" i="12"/>
  <c r="Q28" i="12"/>
  <c r="CQ27" i="12"/>
  <c r="BS27" i="12"/>
  <c r="BI27" i="12"/>
  <c r="AK27" i="12"/>
  <c r="AA27" i="12"/>
  <c r="AD27" i="12" s="1"/>
  <c r="Z27" i="12"/>
  <c r="I27" i="12"/>
  <c r="G27" i="12"/>
  <c r="F27" i="12"/>
  <c r="C27" i="12"/>
  <c r="BS26" i="12"/>
  <c r="AN28" i="12"/>
  <c r="AK26" i="12"/>
  <c r="I26" i="12"/>
  <c r="I28" i="12" s="1"/>
  <c r="G26" i="12"/>
  <c r="G28" i="12" s="1"/>
  <c r="F26" i="12"/>
  <c r="C26" i="12"/>
  <c r="BS25" i="12"/>
  <c r="CP27" i="12" s="1"/>
  <c r="AK25" i="12"/>
  <c r="BH27" i="12" s="1"/>
  <c r="AF25" i="12"/>
  <c r="AD25" i="12"/>
  <c r="AC25" i="12"/>
  <c r="T25" i="12"/>
  <c r="R25" i="12"/>
  <c r="Q25" i="12"/>
  <c r="S25" i="12" s="1"/>
  <c r="C25" i="12"/>
  <c r="AF24" i="12"/>
  <c r="AD24" i="12"/>
  <c r="AC24" i="12"/>
  <c r="AE24" i="12" s="1"/>
  <c r="AG24" i="12" s="1"/>
  <c r="T24" i="12"/>
  <c r="R24" i="12"/>
  <c r="S24" i="12" s="1"/>
  <c r="Q24" i="12"/>
  <c r="CQ23" i="12"/>
  <c r="BS23" i="12"/>
  <c r="BI23" i="12"/>
  <c r="AK23" i="12"/>
  <c r="AF23" i="12"/>
  <c r="AD23" i="12"/>
  <c r="AA23" i="12"/>
  <c r="AC23" i="12" s="1"/>
  <c r="T23" i="12"/>
  <c r="R23" i="12"/>
  <c r="Q23" i="12"/>
  <c r="I23" i="12"/>
  <c r="G23" i="12"/>
  <c r="F23" i="12"/>
  <c r="H23" i="12" s="1"/>
  <c r="C23" i="12"/>
  <c r="BV24" i="12"/>
  <c r="BS22" i="12"/>
  <c r="AK22" i="12"/>
  <c r="T22" i="12"/>
  <c r="R22" i="12"/>
  <c r="Q22" i="12"/>
  <c r="I22" i="12"/>
  <c r="I24" i="12" s="1"/>
  <c r="G22" i="12"/>
  <c r="G24" i="12" s="1"/>
  <c r="F22" i="12"/>
  <c r="H22" i="12" s="1"/>
  <c r="C22" i="12"/>
  <c r="BS21" i="12"/>
  <c r="CP23" i="12" s="1"/>
  <c r="AK21" i="12"/>
  <c r="BH23" i="12" s="1"/>
  <c r="T21" i="12"/>
  <c r="T26" i="12" s="1"/>
  <c r="R21" i="12"/>
  <c r="Q21" i="12"/>
  <c r="C21" i="12"/>
  <c r="Z23" i="12" s="1"/>
  <c r="AF20" i="12"/>
  <c r="AD20" i="12"/>
  <c r="AC20" i="12"/>
  <c r="AE20" i="12" s="1"/>
  <c r="I20" i="12"/>
  <c r="F20" i="12"/>
  <c r="BW20" i="12"/>
  <c r="BS19" i="12"/>
  <c r="AN20" i="12"/>
  <c r="AK19" i="12"/>
  <c r="AF19" i="12"/>
  <c r="AD19" i="12"/>
  <c r="AC19" i="12"/>
  <c r="T19" i="12"/>
  <c r="R19" i="12"/>
  <c r="I19" i="12"/>
  <c r="H19" i="12"/>
  <c r="G19" i="12"/>
  <c r="F19" i="12"/>
  <c r="C19" i="12"/>
  <c r="CQ18" i="12"/>
  <c r="CP18" i="12"/>
  <c r="BV20" i="12"/>
  <c r="BS18" i="12"/>
  <c r="BI18" i="12"/>
  <c r="BH18" i="12"/>
  <c r="AO20" i="12"/>
  <c r="AK18" i="12"/>
  <c r="AF18" i="12"/>
  <c r="AD18" i="12"/>
  <c r="AC18" i="12"/>
  <c r="AA18" i="12"/>
  <c r="T18" i="12"/>
  <c r="R18" i="12"/>
  <c r="Q18" i="12"/>
  <c r="S18" i="12" s="1"/>
  <c r="I18" i="12"/>
  <c r="G18" i="12"/>
  <c r="G20" i="12" s="1"/>
  <c r="F18" i="12"/>
  <c r="H18" i="12" s="1"/>
  <c r="C18" i="12"/>
  <c r="BS17" i="12"/>
  <c r="AK17" i="12"/>
  <c r="T17" i="12"/>
  <c r="R17" i="12"/>
  <c r="Q17" i="12"/>
  <c r="C17" i="12"/>
  <c r="Z18" i="12" s="1"/>
  <c r="AO16" i="12"/>
  <c r="AN16" i="12"/>
  <c r="AF16" i="12"/>
  <c r="AD16" i="12"/>
  <c r="AC16" i="12"/>
  <c r="T16" i="12"/>
  <c r="R16" i="12"/>
  <c r="Q16" i="12"/>
  <c r="S16" i="12" s="1"/>
  <c r="F16" i="12"/>
  <c r="BS15" i="12"/>
  <c r="AK15" i="12"/>
  <c r="AF15" i="12"/>
  <c r="AD15" i="12"/>
  <c r="AC15" i="12"/>
  <c r="T15" i="12"/>
  <c r="R15" i="12"/>
  <c r="Q15" i="12"/>
  <c r="S15" i="12" s="1"/>
  <c r="I15" i="12"/>
  <c r="G15" i="12"/>
  <c r="F15" i="12"/>
  <c r="H15" i="12" s="1"/>
  <c r="C15" i="12"/>
  <c r="CQ14" i="12"/>
  <c r="BS14" i="12"/>
  <c r="BI14" i="12"/>
  <c r="AK14" i="12"/>
  <c r="AF14" i="12"/>
  <c r="AD14" i="12"/>
  <c r="AC14" i="12"/>
  <c r="AE14" i="12" s="1"/>
  <c r="AA14" i="12"/>
  <c r="Z14" i="12"/>
  <c r="T14" i="12"/>
  <c r="R14" i="12"/>
  <c r="Q14" i="12"/>
  <c r="I14" i="12"/>
  <c r="I16" i="12" s="1"/>
  <c r="G14" i="12"/>
  <c r="G16" i="12" s="1"/>
  <c r="F14" i="12"/>
  <c r="C14" i="12"/>
  <c r="BS13" i="12"/>
  <c r="CP14" i="12" s="1"/>
  <c r="AK13" i="12"/>
  <c r="BH14" i="12" s="1"/>
  <c r="T13" i="12"/>
  <c r="R13" i="12"/>
  <c r="Q13" i="12"/>
  <c r="S13" i="12" s="1"/>
  <c r="C13" i="12"/>
  <c r="BY12" i="12"/>
  <c r="AF12" i="12"/>
  <c r="AD12" i="12"/>
  <c r="AE12" i="12" s="1"/>
  <c r="AC12" i="12"/>
  <c r="BS11" i="12"/>
  <c r="AK11" i="12"/>
  <c r="AF11" i="12"/>
  <c r="AD11" i="12"/>
  <c r="AC11" i="12"/>
  <c r="I11" i="12"/>
  <c r="G11" i="12"/>
  <c r="F11" i="12"/>
  <c r="H11" i="12" s="1"/>
  <c r="C11" i="12"/>
  <c r="CQ10" i="12"/>
  <c r="CP10" i="12"/>
  <c r="BS10" i="12"/>
  <c r="BI10" i="12"/>
  <c r="AO12" i="12"/>
  <c r="AK10" i="12"/>
  <c r="AF10" i="12"/>
  <c r="AD10" i="12"/>
  <c r="AA10" i="12"/>
  <c r="AC10" i="12" s="1"/>
  <c r="AE10" i="12" s="1"/>
  <c r="T10" i="12"/>
  <c r="R10" i="12"/>
  <c r="Q10" i="12"/>
  <c r="S10" i="12" s="1"/>
  <c r="I10" i="12"/>
  <c r="H10" i="12"/>
  <c r="G10" i="12"/>
  <c r="F10" i="12"/>
  <c r="C10" i="12"/>
  <c r="BS9" i="12"/>
  <c r="AK9" i="12"/>
  <c r="BH10" i="12" s="1"/>
  <c r="T9" i="12"/>
  <c r="T11" i="12" s="1"/>
  <c r="R9" i="12"/>
  <c r="Q9" i="12"/>
  <c r="S9" i="12" s="1"/>
  <c r="C9" i="12"/>
  <c r="Z10" i="12" s="1"/>
  <c r="AF8" i="12"/>
  <c r="AD8" i="12"/>
  <c r="AC8" i="12"/>
  <c r="T8" i="12"/>
  <c r="R8" i="12"/>
  <c r="Q8" i="12"/>
  <c r="BS7" i="12"/>
  <c r="AQ8" i="12"/>
  <c r="AK7" i="12"/>
  <c r="AF7" i="12"/>
  <c r="AD7" i="12"/>
  <c r="AC7" i="12"/>
  <c r="T7" i="12"/>
  <c r="R7" i="12"/>
  <c r="R11" i="12" s="1"/>
  <c r="Q7" i="12"/>
  <c r="S7" i="12" s="1"/>
  <c r="I7" i="12"/>
  <c r="G7" i="12"/>
  <c r="H7" i="12" s="1"/>
  <c r="F7" i="12"/>
  <c r="F8" i="12" s="1"/>
  <c r="C7" i="12"/>
  <c r="CQ6" i="12"/>
  <c r="BW8" i="12"/>
  <c r="BV8" i="12"/>
  <c r="BS6" i="12"/>
  <c r="BI6" i="12"/>
  <c r="BH6" i="12"/>
  <c r="AP6" i="12"/>
  <c r="AO8" i="12"/>
  <c r="AK6" i="12"/>
  <c r="AA6" i="12"/>
  <c r="AF6" i="12" s="1"/>
  <c r="T6" i="12"/>
  <c r="R6" i="12"/>
  <c r="S6" i="12" s="1"/>
  <c r="Q6" i="12"/>
  <c r="I6" i="12"/>
  <c r="G6" i="12"/>
  <c r="H6" i="12" s="1"/>
  <c r="F6" i="12"/>
  <c r="C6" i="12"/>
  <c r="BS5" i="12"/>
  <c r="CP6" i="12" s="1"/>
  <c r="AK5" i="12"/>
  <c r="C5" i="12"/>
  <c r="Z6" i="12" s="1"/>
  <c r="CJ42" i="7"/>
  <c r="CJ43" i="7" s="1"/>
  <c r="CH42" i="7"/>
  <c r="CH43" i="7" s="1"/>
  <c r="CG42" i="7"/>
  <c r="CI42" i="7" s="1"/>
  <c r="CJ41" i="7"/>
  <c r="CH41" i="7"/>
  <c r="CG41" i="7"/>
  <c r="CI41" i="7" s="1"/>
  <c r="CJ40" i="7"/>
  <c r="CH40" i="7"/>
  <c r="CG40" i="7"/>
  <c r="CI40" i="7" s="1"/>
  <c r="CJ39" i="7"/>
  <c r="CH39" i="7"/>
  <c r="CG39" i="7"/>
  <c r="CG43" i="7" s="1"/>
  <c r="CJ36" i="7"/>
  <c r="CH36" i="7"/>
  <c r="CG36" i="7"/>
  <c r="CI36" i="7" s="1"/>
  <c r="CJ35" i="7"/>
  <c r="CH35" i="7"/>
  <c r="CH37" i="7" s="1"/>
  <c r="CG35" i="7"/>
  <c r="CI35" i="7" s="1"/>
  <c r="CJ34" i="7"/>
  <c r="CJ37" i="7" s="1"/>
  <c r="CI34" i="7"/>
  <c r="CI37" i="7" s="1"/>
  <c r="CH34" i="7"/>
  <c r="CG34" i="7"/>
  <c r="CG37" i="7" s="1"/>
  <c r="CJ32" i="7"/>
  <c r="CJ31" i="7"/>
  <c r="CH31" i="7"/>
  <c r="CG31" i="7"/>
  <c r="CI31" i="7" s="1"/>
  <c r="BR31" i="7"/>
  <c r="CJ30" i="7"/>
  <c r="CH30" i="7"/>
  <c r="CG30" i="7"/>
  <c r="CI30" i="7" s="1"/>
  <c r="CJ29" i="7"/>
  <c r="CH29" i="7"/>
  <c r="CG29" i="7"/>
  <c r="CI29" i="7" s="1"/>
  <c r="CJ28" i="7"/>
  <c r="CH28" i="7"/>
  <c r="CH32" i="7" s="1"/>
  <c r="CG28" i="7"/>
  <c r="CI28" i="7" s="1"/>
  <c r="BW28" i="7"/>
  <c r="CQ27" i="7"/>
  <c r="BS27" i="7"/>
  <c r="BS26" i="7"/>
  <c r="CW25" i="7"/>
  <c r="CJ25" i="7"/>
  <c r="CJ26" i="7" s="1"/>
  <c r="CI25" i="7"/>
  <c r="CH25" i="7"/>
  <c r="CG25" i="7"/>
  <c r="BS25" i="7"/>
  <c r="CP27" i="7" s="1"/>
  <c r="CJ24" i="7"/>
  <c r="CH24" i="7"/>
  <c r="CG24" i="7"/>
  <c r="CI24" i="7" s="1"/>
  <c r="CQ23" i="7"/>
  <c r="CJ23" i="7"/>
  <c r="CH23" i="7"/>
  <c r="CG23" i="7"/>
  <c r="CI23" i="7" s="1"/>
  <c r="BS23" i="7"/>
  <c r="CJ22" i="7"/>
  <c r="CI22" i="7"/>
  <c r="CH22" i="7"/>
  <c r="CG22" i="7"/>
  <c r="BS22" i="7"/>
  <c r="CJ21" i="7"/>
  <c r="CH21" i="7"/>
  <c r="CH26" i="7" s="1"/>
  <c r="CG21" i="7"/>
  <c r="CG26" i="7" s="1"/>
  <c r="BS21" i="7"/>
  <c r="CP23" i="7" s="1"/>
  <c r="BS19" i="7"/>
  <c r="CQ18" i="7"/>
  <c r="CJ18" i="7"/>
  <c r="CH18" i="7"/>
  <c r="CG18" i="7"/>
  <c r="CI18" i="7" s="1"/>
  <c r="BY20" i="7"/>
  <c r="BS18" i="7"/>
  <c r="CJ17" i="7"/>
  <c r="CH17" i="7"/>
  <c r="CG17" i="7"/>
  <c r="CI17" i="7" s="1"/>
  <c r="BS17" i="7"/>
  <c r="CP18" i="7" s="1"/>
  <c r="CJ16" i="7"/>
  <c r="CH16" i="7"/>
  <c r="CG16" i="7"/>
  <c r="CI16" i="7" s="1"/>
  <c r="CJ15" i="7"/>
  <c r="CH15" i="7"/>
  <c r="CG15" i="7"/>
  <c r="CG19" i="7" s="1"/>
  <c r="BS15" i="7"/>
  <c r="CQ14" i="7"/>
  <c r="CJ14" i="7"/>
  <c r="CI14" i="7"/>
  <c r="CH14" i="7"/>
  <c r="CG14" i="7"/>
  <c r="BS14" i="7"/>
  <c r="CJ13" i="7"/>
  <c r="CJ19" i="7" s="1"/>
  <c r="CH13" i="7"/>
  <c r="CI13" i="7" s="1"/>
  <c r="CG13" i="7"/>
  <c r="BS13" i="7"/>
  <c r="CP14" i="7" s="1"/>
  <c r="BS11" i="7"/>
  <c r="CQ10" i="7"/>
  <c r="CJ10" i="7"/>
  <c r="CI10" i="7"/>
  <c r="CH10" i="7"/>
  <c r="CG10" i="7"/>
  <c r="BY12" i="7"/>
  <c r="BS10" i="7"/>
  <c r="CJ9" i="7"/>
  <c r="CH9" i="7"/>
  <c r="CI9" i="7" s="1"/>
  <c r="CG9" i="7"/>
  <c r="BS9" i="7"/>
  <c r="CP10" i="7" s="1"/>
  <c r="CJ8" i="7"/>
  <c r="CH8" i="7"/>
  <c r="CI8" i="7" s="1"/>
  <c r="CG8" i="7"/>
  <c r="CJ7" i="7"/>
  <c r="CH7" i="7"/>
  <c r="CH11" i="7" s="1"/>
  <c r="CG7" i="7"/>
  <c r="BS7" i="7"/>
  <c r="CQ6" i="7"/>
  <c r="CP6" i="7"/>
  <c r="CJ6" i="7"/>
  <c r="CJ11" i="7" s="1"/>
  <c r="CH6" i="7"/>
  <c r="CG6" i="7"/>
  <c r="CG11" i="7" s="1"/>
  <c r="BS6" i="7"/>
  <c r="BS5" i="7"/>
  <c r="BA42" i="7"/>
  <c r="BA41" i="7"/>
  <c r="BB43" i="7"/>
  <c r="AY32" i="7"/>
  <c r="BA31" i="7"/>
  <c r="AJ31" i="7"/>
  <c r="BA29" i="7"/>
  <c r="BM28" i="7"/>
  <c r="BO28" i="7" s="1"/>
  <c r="BA28" i="7"/>
  <c r="AN28" i="7"/>
  <c r="BM27" i="7"/>
  <c r="BI27" i="7"/>
  <c r="AP27" i="7"/>
  <c r="AK27" i="7"/>
  <c r="AQ28" i="7"/>
  <c r="AP26" i="7"/>
  <c r="AP28" i="7" s="1"/>
  <c r="AK26" i="7"/>
  <c r="BM25" i="7"/>
  <c r="BA25" i="7"/>
  <c r="AK25" i="7"/>
  <c r="BH27" i="7" s="1"/>
  <c r="BM24" i="7"/>
  <c r="BO24" i="7" s="1"/>
  <c r="AQ24" i="7"/>
  <c r="AN24" i="7"/>
  <c r="BI23" i="7"/>
  <c r="BH23" i="7"/>
  <c r="AO24" i="7"/>
  <c r="AK23" i="7"/>
  <c r="BA22" i="7"/>
  <c r="AP22" i="7"/>
  <c r="AK22" i="7"/>
  <c r="AK21" i="7"/>
  <c r="BM19" i="7"/>
  <c r="AP19" i="7"/>
  <c r="AO20" i="7"/>
  <c r="AK19" i="7"/>
  <c r="BI18" i="7"/>
  <c r="AQ20" i="7"/>
  <c r="AK18" i="7"/>
  <c r="AK17" i="7"/>
  <c r="BH18" i="7" s="1"/>
  <c r="BA16" i="7"/>
  <c r="AQ16" i="7"/>
  <c r="BM15" i="7"/>
  <c r="AP15" i="7"/>
  <c r="AK15" i="7"/>
  <c r="BM14" i="7"/>
  <c r="BI14" i="7"/>
  <c r="BB19" i="7"/>
  <c r="AP14" i="7"/>
  <c r="AK14" i="7"/>
  <c r="BA13" i="7"/>
  <c r="AK13" i="7"/>
  <c r="BH14" i="7" s="1"/>
  <c r="AQ12" i="7"/>
  <c r="AK11" i="7"/>
  <c r="BI10" i="7"/>
  <c r="BM10" i="7" s="1"/>
  <c r="BA10" i="7"/>
  <c r="AO12" i="7"/>
  <c r="AN12" i="7"/>
  <c r="AK10" i="7"/>
  <c r="BA9" i="7"/>
  <c r="AK9" i="7"/>
  <c r="BH10" i="7" s="1"/>
  <c r="BM8" i="7"/>
  <c r="AQ8" i="7"/>
  <c r="AN8" i="7"/>
  <c r="BA7" i="7"/>
  <c r="AK7" i="7"/>
  <c r="BI6" i="7"/>
  <c r="AO8" i="7"/>
  <c r="AP6" i="7"/>
  <c r="AK6" i="7"/>
  <c r="AK5" i="7"/>
  <c r="BH6" i="7" s="1"/>
  <c r="AC37" i="7"/>
  <c r="AC35" i="7"/>
  <c r="AD35" i="7"/>
  <c r="AE35" i="7"/>
  <c r="AF35" i="7"/>
  <c r="AG35" i="7"/>
  <c r="AC46" i="7"/>
  <c r="AD37" i="7"/>
  <c r="AE37" i="7"/>
  <c r="AF37" i="7"/>
  <c r="AG37" i="7"/>
  <c r="AD42" i="7"/>
  <c r="AE42" i="7"/>
  <c r="AF42" i="7"/>
  <c r="AG42" i="7"/>
  <c r="AC44" i="7"/>
  <c r="AD44" i="7"/>
  <c r="AE44" i="7"/>
  <c r="AF44" i="7"/>
  <c r="AG44" i="7"/>
  <c r="AD46" i="7"/>
  <c r="AE46" i="7"/>
  <c r="AF46" i="7"/>
  <c r="AG46" i="7"/>
  <c r="AC11" i="7"/>
  <c r="AE11" i="7" s="1"/>
  <c r="AD11" i="7"/>
  <c r="AF11" i="7"/>
  <c r="AC12" i="7"/>
  <c r="AD12" i="7"/>
  <c r="AF12" i="7"/>
  <c r="AC15" i="7"/>
  <c r="AD15" i="7"/>
  <c r="AF15" i="7"/>
  <c r="AC16" i="7"/>
  <c r="AD16" i="7"/>
  <c r="AE16" i="7"/>
  <c r="AF16" i="7"/>
  <c r="AC19" i="7"/>
  <c r="AD19" i="7"/>
  <c r="AF19" i="7"/>
  <c r="AC20" i="7"/>
  <c r="AD20" i="7"/>
  <c r="AF20" i="7"/>
  <c r="AC24" i="7"/>
  <c r="AD24" i="7"/>
  <c r="AF24" i="7"/>
  <c r="AC25" i="7"/>
  <c r="AD25" i="7"/>
  <c r="AE25" i="7" s="1"/>
  <c r="AF25" i="7"/>
  <c r="AC28" i="7"/>
  <c r="AD28" i="7"/>
  <c r="AE28" i="7" s="1"/>
  <c r="AF28" i="7"/>
  <c r="AC29" i="7"/>
  <c r="AD29" i="7"/>
  <c r="AF29" i="7"/>
  <c r="AC7" i="7"/>
  <c r="AD7" i="7"/>
  <c r="AF7" i="7"/>
  <c r="AC8" i="7"/>
  <c r="AD8" i="7"/>
  <c r="AF8" i="7"/>
  <c r="Q40" i="7"/>
  <c r="R40" i="7"/>
  <c r="T40" i="7"/>
  <c r="Q41" i="7"/>
  <c r="R41" i="7"/>
  <c r="T41" i="7"/>
  <c r="Q42" i="7"/>
  <c r="R42" i="7"/>
  <c r="T42" i="7"/>
  <c r="Q35" i="7"/>
  <c r="R35" i="7"/>
  <c r="T35" i="7"/>
  <c r="Q36" i="7"/>
  <c r="R36" i="7"/>
  <c r="T36" i="7"/>
  <c r="Q29" i="7"/>
  <c r="R29" i="7"/>
  <c r="T29" i="7"/>
  <c r="Q30" i="7"/>
  <c r="R30" i="7"/>
  <c r="T30" i="7"/>
  <c r="Q31" i="7"/>
  <c r="R31" i="7"/>
  <c r="T31" i="7"/>
  <c r="Q22" i="7"/>
  <c r="R22" i="7"/>
  <c r="T22" i="7"/>
  <c r="Q23" i="7"/>
  <c r="R23" i="7"/>
  <c r="T23" i="7"/>
  <c r="Q24" i="7"/>
  <c r="R24" i="7"/>
  <c r="T24" i="7"/>
  <c r="Q25" i="7"/>
  <c r="R25" i="7"/>
  <c r="T25" i="7"/>
  <c r="Q14" i="7"/>
  <c r="R14" i="7"/>
  <c r="T14" i="7"/>
  <c r="Q15" i="7"/>
  <c r="R15" i="7"/>
  <c r="S15" i="7" s="1"/>
  <c r="T15" i="7"/>
  <c r="Q16" i="7"/>
  <c r="R16" i="7"/>
  <c r="T16" i="7"/>
  <c r="Q17" i="7"/>
  <c r="R17" i="7"/>
  <c r="T17" i="7"/>
  <c r="Q18" i="7"/>
  <c r="R18" i="7"/>
  <c r="T18" i="7"/>
  <c r="T39" i="7"/>
  <c r="R39" i="7"/>
  <c r="Q39" i="7"/>
  <c r="T34" i="7"/>
  <c r="R34" i="7"/>
  <c r="Q34" i="7"/>
  <c r="T28" i="7"/>
  <c r="R28" i="7"/>
  <c r="Q28" i="7"/>
  <c r="T21" i="7"/>
  <c r="R21" i="7"/>
  <c r="Q21" i="7"/>
  <c r="T13" i="7"/>
  <c r="R13" i="7"/>
  <c r="Q13" i="7"/>
  <c r="T7" i="7"/>
  <c r="T8" i="7"/>
  <c r="T9" i="7"/>
  <c r="T10" i="7"/>
  <c r="R7" i="7"/>
  <c r="R8" i="7"/>
  <c r="R9" i="7"/>
  <c r="R10" i="7"/>
  <c r="Q7" i="7"/>
  <c r="Q8" i="7"/>
  <c r="Q9" i="7"/>
  <c r="Q10" i="7"/>
  <c r="T6" i="7"/>
  <c r="R6" i="7"/>
  <c r="Q6" i="7"/>
  <c r="I27" i="7"/>
  <c r="I26" i="7"/>
  <c r="I23" i="7"/>
  <c r="I22" i="7"/>
  <c r="I19" i="7"/>
  <c r="I18" i="7"/>
  <c r="I15" i="7"/>
  <c r="I14" i="7"/>
  <c r="I11" i="7"/>
  <c r="I10" i="7"/>
  <c r="I7" i="7"/>
  <c r="I6" i="7"/>
  <c r="B31" i="7"/>
  <c r="G27" i="7"/>
  <c r="G26" i="7"/>
  <c r="G23" i="7"/>
  <c r="G22" i="7"/>
  <c r="G19" i="7"/>
  <c r="G18" i="7"/>
  <c r="G20" i="7" s="1"/>
  <c r="G15" i="7"/>
  <c r="G14" i="7"/>
  <c r="G11" i="7"/>
  <c r="G10" i="7"/>
  <c r="G7" i="7"/>
  <c r="G6" i="7"/>
  <c r="F27" i="7"/>
  <c r="F26" i="7"/>
  <c r="F28" i="7" s="1"/>
  <c r="F23" i="7"/>
  <c r="F22" i="7"/>
  <c r="F19" i="7"/>
  <c r="F18" i="7"/>
  <c r="F15" i="7"/>
  <c r="F14" i="7"/>
  <c r="F16" i="7" s="1"/>
  <c r="F11" i="7"/>
  <c r="F10" i="7"/>
  <c r="F7" i="7"/>
  <c r="F6" i="7"/>
  <c r="F8" i="7" s="1"/>
  <c r="AA27" i="7"/>
  <c r="AF27" i="7" s="1"/>
  <c r="AA23" i="7"/>
  <c r="AC23" i="7" s="1"/>
  <c r="AA18" i="7"/>
  <c r="AD18" i="7" s="1"/>
  <c r="AA14" i="7"/>
  <c r="AF14" i="7" s="1"/>
  <c r="AA6" i="7"/>
  <c r="AC6" i="7" s="1"/>
  <c r="AA10" i="7"/>
  <c r="AF10" i="7" s="1"/>
  <c r="C27" i="7"/>
  <c r="C26" i="7"/>
  <c r="C25" i="7"/>
  <c r="Z27" i="7" s="1"/>
  <c r="C23" i="7"/>
  <c r="C22" i="7"/>
  <c r="C21" i="7"/>
  <c r="Z23" i="7" s="1"/>
  <c r="C19" i="7"/>
  <c r="C18" i="7"/>
  <c r="C17" i="7"/>
  <c r="Z18" i="7" s="1"/>
  <c r="C15" i="7"/>
  <c r="C14" i="7"/>
  <c r="C13" i="7"/>
  <c r="Z14" i="7" s="1"/>
  <c r="C11" i="7"/>
  <c r="C10" i="7"/>
  <c r="C9" i="7"/>
  <c r="Z10" i="7" s="1"/>
  <c r="C7" i="7"/>
  <c r="C6" i="7"/>
  <c r="C5" i="7"/>
  <c r="Z6" i="7" s="1"/>
  <c r="CS35" i="14" l="1"/>
  <c r="CU12" i="14"/>
  <c r="CU7" i="14"/>
  <c r="CU37" i="14" s="1"/>
  <c r="BO16" i="14"/>
  <c r="BK37" i="14"/>
  <c r="BK33" i="14"/>
  <c r="BK35" i="14"/>
  <c r="BN37" i="14"/>
  <c r="BL37" i="14"/>
  <c r="BN35" i="14"/>
  <c r="BL35" i="14"/>
  <c r="BA28" i="14"/>
  <c r="BA32" i="14" s="1"/>
  <c r="CI40" i="14"/>
  <c r="BW12" i="14"/>
  <c r="AO20" i="14"/>
  <c r="AP22" i="14"/>
  <c r="BX23" i="14"/>
  <c r="BX24" i="14" s="1"/>
  <c r="AP20" i="14"/>
  <c r="AR20" i="14" s="1"/>
  <c r="CU33" i="13"/>
  <c r="CU7" i="13"/>
  <c r="CV37" i="13"/>
  <c r="CU37" i="13"/>
  <c r="CT37" i="13"/>
  <c r="CV33" i="13"/>
  <c r="CU35" i="13"/>
  <c r="BM7" i="13"/>
  <c r="CS33" i="13"/>
  <c r="CS37" i="13"/>
  <c r="BO14" i="13"/>
  <c r="CI14" i="13"/>
  <c r="AN28" i="13"/>
  <c r="BX15" i="13"/>
  <c r="CS33" i="12"/>
  <c r="CV33" i="12"/>
  <c r="CS42" i="12"/>
  <c r="CV42" i="12"/>
  <c r="CS46" i="12"/>
  <c r="CU7" i="12"/>
  <c r="BM10" i="12"/>
  <c r="BO10" i="12" s="1"/>
  <c r="CS37" i="12"/>
  <c r="CU10" i="12"/>
  <c r="CU37" i="12" s="1"/>
  <c r="CI18" i="12"/>
  <c r="CI19" i="12" s="1"/>
  <c r="AP22" i="12"/>
  <c r="AN8" i="12"/>
  <c r="CW7" i="7"/>
  <c r="CW20" i="7"/>
  <c r="CU8" i="7"/>
  <c r="CS44" i="7"/>
  <c r="CV46" i="7"/>
  <c r="BO11" i="7"/>
  <c r="BO20" i="7"/>
  <c r="BV28" i="7"/>
  <c r="BX24" i="7"/>
  <c r="BZ24" i="7"/>
  <c r="BZ28" i="7"/>
  <c r="BX16" i="7"/>
  <c r="BM12" i="7"/>
  <c r="BO12" i="7" s="1"/>
  <c r="BO7" i="7"/>
  <c r="BO27" i="7"/>
  <c r="AY19" i="7"/>
  <c r="AP16" i="7"/>
  <c r="AN34" i="7"/>
  <c r="AP8" i="7"/>
  <c r="AR8" i="7" s="1"/>
  <c r="AG28" i="14"/>
  <c r="CW8" i="14"/>
  <c r="AG23" i="14"/>
  <c r="BB11" i="14"/>
  <c r="T19" i="14"/>
  <c r="T43" i="14"/>
  <c r="BB37" i="14"/>
  <c r="I24" i="14"/>
  <c r="BY20" i="14"/>
  <c r="AE7" i="14"/>
  <c r="AE14" i="14"/>
  <c r="AE25" i="14"/>
  <c r="AE29" i="14"/>
  <c r="AG29" i="14" s="1"/>
  <c r="AE12" i="14"/>
  <c r="AG12" i="14" s="1"/>
  <c r="CW16" i="14"/>
  <c r="BO20" i="14"/>
  <c r="BO27" i="14"/>
  <c r="AE24" i="14"/>
  <c r="AE8" i="14"/>
  <c r="AG8" i="14" s="1"/>
  <c r="AE15" i="14"/>
  <c r="AE16" i="14"/>
  <c r="AG16" i="14" s="1"/>
  <c r="CW19" i="14"/>
  <c r="S29" i="14"/>
  <c r="S22" i="14"/>
  <c r="BA37" i="14"/>
  <c r="BC37" i="14" s="1"/>
  <c r="CG19" i="14"/>
  <c r="CI19" i="14"/>
  <c r="Q37" i="14"/>
  <c r="S18" i="14"/>
  <c r="Q32" i="14"/>
  <c r="S17" i="14"/>
  <c r="S39" i="14"/>
  <c r="S43" i="14" s="1"/>
  <c r="U43" i="14" s="1"/>
  <c r="BA26" i="14"/>
  <c r="AY43" i="14"/>
  <c r="BA43" i="14"/>
  <c r="BC43" i="14" s="1"/>
  <c r="S10" i="14"/>
  <c r="S42" i="14"/>
  <c r="S9" i="14"/>
  <c r="S13" i="14"/>
  <c r="S19" i="14" s="1"/>
  <c r="U19" i="14" s="1"/>
  <c r="S30" i="14"/>
  <c r="S8" i="14"/>
  <c r="S40" i="14"/>
  <c r="AP28" i="14"/>
  <c r="AR28" i="14" s="1"/>
  <c r="AN12" i="14"/>
  <c r="AN16" i="14"/>
  <c r="AN28" i="14"/>
  <c r="H6" i="14"/>
  <c r="H8" i="14" s="1"/>
  <c r="H20" i="14"/>
  <c r="H11" i="14"/>
  <c r="F12" i="14"/>
  <c r="F34" i="14" s="1"/>
  <c r="H14" i="14"/>
  <c r="BX20" i="14"/>
  <c r="BZ20" i="14" s="1"/>
  <c r="BX28" i="14"/>
  <c r="BZ28" i="14" s="1"/>
  <c r="AN20" i="14"/>
  <c r="AP24" i="14"/>
  <c r="F28" i="14"/>
  <c r="H10" i="14"/>
  <c r="H12" i="14" s="1"/>
  <c r="H19" i="14"/>
  <c r="H27" i="14"/>
  <c r="AG20" i="14"/>
  <c r="CW12" i="14"/>
  <c r="BO18" i="14"/>
  <c r="CW14" i="14"/>
  <c r="BO8" i="14"/>
  <c r="CW15" i="14"/>
  <c r="BO10" i="14"/>
  <c r="BO19" i="14"/>
  <c r="CW27" i="14"/>
  <c r="BO25" i="14"/>
  <c r="AG25" i="14"/>
  <c r="BO23" i="14"/>
  <c r="BO28" i="14"/>
  <c r="CW20" i="14"/>
  <c r="AZ32" i="14"/>
  <c r="CI26" i="14"/>
  <c r="CK26" i="14" s="1"/>
  <c r="R11" i="14"/>
  <c r="AZ19" i="14"/>
  <c r="R19" i="14"/>
  <c r="R47" i="14" s="1"/>
  <c r="S6" i="14"/>
  <c r="S28" i="14"/>
  <c r="S32" i="14" s="1"/>
  <c r="AZ11" i="14"/>
  <c r="R37" i="14"/>
  <c r="R49" i="14" s="1"/>
  <c r="CI32" i="14"/>
  <c r="CK32" i="14" s="1"/>
  <c r="S41" i="14"/>
  <c r="AZ37" i="14"/>
  <c r="BA6" i="14"/>
  <c r="AO12" i="14"/>
  <c r="AO16" i="14"/>
  <c r="AP16" i="14"/>
  <c r="BW28" i="14"/>
  <c r="BX16" i="14"/>
  <c r="BZ16" i="14" s="1"/>
  <c r="G16" i="14"/>
  <c r="G24" i="14"/>
  <c r="H22" i="14"/>
  <c r="H24" i="14" s="1"/>
  <c r="J24" i="14" s="1"/>
  <c r="BX8" i="14"/>
  <c r="H26" i="14"/>
  <c r="H28" i="14" s="1"/>
  <c r="J28" i="14" s="1"/>
  <c r="AP12" i="14"/>
  <c r="AR12" i="14" s="1"/>
  <c r="AO8" i="14"/>
  <c r="CW10" i="14"/>
  <c r="CW11" i="14"/>
  <c r="CI37" i="14"/>
  <c r="CK37" i="14" s="1"/>
  <c r="J20" i="14"/>
  <c r="G8" i="14"/>
  <c r="C31" i="14"/>
  <c r="AO34" i="14"/>
  <c r="AO36" i="14"/>
  <c r="AO32" i="14"/>
  <c r="AY19" i="14"/>
  <c r="BV28" i="14"/>
  <c r="BO15" i="14"/>
  <c r="BV16" i="14"/>
  <c r="F24" i="14"/>
  <c r="BB32" i="14"/>
  <c r="T37" i="14"/>
  <c r="BY8" i="14"/>
  <c r="CH19" i="14"/>
  <c r="Q26" i="14"/>
  <c r="BV24" i="14"/>
  <c r="AP8" i="14"/>
  <c r="AN8" i="14"/>
  <c r="BX12" i="14"/>
  <c r="BV12" i="14"/>
  <c r="AG15" i="14"/>
  <c r="CW28" i="14"/>
  <c r="BB26" i="14"/>
  <c r="CW24" i="14"/>
  <c r="CH43" i="14"/>
  <c r="CG11" i="14"/>
  <c r="Q19" i="14"/>
  <c r="R26" i="14"/>
  <c r="CH11" i="14"/>
  <c r="CJ19" i="14"/>
  <c r="S37" i="14"/>
  <c r="AG7" i="14"/>
  <c r="F16" i="14"/>
  <c r="F36" i="14" s="1"/>
  <c r="H16" i="14"/>
  <c r="AQ8" i="14"/>
  <c r="BO24" i="14"/>
  <c r="AD27" i="14"/>
  <c r="AY11" i="14"/>
  <c r="AC27" i="14"/>
  <c r="I12" i="14"/>
  <c r="BO12" i="14"/>
  <c r="AQ16" i="14"/>
  <c r="CT35" i="14"/>
  <c r="AZ26" i="14"/>
  <c r="I16" i="14"/>
  <c r="J16" i="14" s="1"/>
  <c r="AG19" i="14"/>
  <c r="BY24" i="14"/>
  <c r="CW23" i="14"/>
  <c r="AG24" i="14"/>
  <c r="AD6" i="14"/>
  <c r="AE6" i="14" s="1"/>
  <c r="CI11" i="14"/>
  <c r="AG11" i="14"/>
  <c r="BA19" i="14"/>
  <c r="CG26" i="14"/>
  <c r="CG37" i="14"/>
  <c r="CJ43" i="14"/>
  <c r="CJ49" i="14" s="1"/>
  <c r="AY26" i="14"/>
  <c r="T32" i="14"/>
  <c r="BO11" i="14"/>
  <c r="CI43" i="14"/>
  <c r="AC6" i="14"/>
  <c r="AD10" i="14"/>
  <c r="AC10" i="14"/>
  <c r="BB19" i="14"/>
  <c r="AG18" i="14"/>
  <c r="BV20" i="14"/>
  <c r="AQ24" i="14"/>
  <c r="CG32" i="14"/>
  <c r="AG14" i="14"/>
  <c r="BW20" i="14"/>
  <c r="BW32" i="14" s="1"/>
  <c r="CV33" i="14"/>
  <c r="AZ43" i="14"/>
  <c r="Q11" i="14"/>
  <c r="CH37" i="14"/>
  <c r="BO19" i="13"/>
  <c r="BO20" i="13"/>
  <c r="AG15" i="13"/>
  <c r="BB43" i="13"/>
  <c r="BB26" i="13"/>
  <c r="T11" i="13"/>
  <c r="T19" i="13"/>
  <c r="T32" i="13"/>
  <c r="T37" i="13"/>
  <c r="AQ12" i="13"/>
  <c r="BY28" i="13"/>
  <c r="AQ20" i="13"/>
  <c r="AQ32" i="13" s="1"/>
  <c r="I28" i="13"/>
  <c r="I16" i="13"/>
  <c r="J16" i="13" s="1"/>
  <c r="AQ24" i="13"/>
  <c r="AZ11" i="13"/>
  <c r="R19" i="13"/>
  <c r="R49" i="13" s="1"/>
  <c r="R11" i="13"/>
  <c r="S8" i="13"/>
  <c r="S15" i="13"/>
  <c r="CH19" i="13"/>
  <c r="R37" i="13"/>
  <c r="R47" i="13" s="1"/>
  <c r="CI37" i="13"/>
  <c r="CK37" i="13" s="1"/>
  <c r="R43" i="13"/>
  <c r="CH26" i="13"/>
  <c r="AZ32" i="13"/>
  <c r="CH11" i="13"/>
  <c r="S9" i="13"/>
  <c r="S18" i="13"/>
  <c r="S21" i="13"/>
  <c r="AZ26" i="13"/>
  <c r="AZ37" i="13"/>
  <c r="S35" i="13"/>
  <c r="H15" i="13"/>
  <c r="BW8" i="13"/>
  <c r="AO24" i="13"/>
  <c r="H23" i="13"/>
  <c r="H26" i="13"/>
  <c r="AO12" i="13"/>
  <c r="H10" i="13"/>
  <c r="H18" i="13"/>
  <c r="BX12" i="13"/>
  <c r="BZ12" i="13" s="1"/>
  <c r="AO16" i="13"/>
  <c r="BW28" i="13"/>
  <c r="AG19" i="13"/>
  <c r="BO8" i="13"/>
  <c r="CW19" i="13"/>
  <c r="AG10" i="13"/>
  <c r="CW29" i="13"/>
  <c r="BO29" i="13"/>
  <c r="BO12" i="13"/>
  <c r="AG14" i="13"/>
  <c r="CW28" i="13"/>
  <c r="CW20" i="13"/>
  <c r="AE28" i="13"/>
  <c r="AG28" i="13" s="1"/>
  <c r="CW8" i="13"/>
  <c r="AE8" i="13"/>
  <c r="AG8" i="13" s="1"/>
  <c r="BO15" i="13"/>
  <c r="S23" i="13"/>
  <c r="S26" i="13" s="1"/>
  <c r="Q32" i="13"/>
  <c r="Q19" i="13"/>
  <c r="Q43" i="13"/>
  <c r="AY43" i="13"/>
  <c r="S40" i="13"/>
  <c r="S43" i="13" s="1"/>
  <c r="U43" i="13" s="1"/>
  <c r="S30" i="13"/>
  <c r="S32" i="13" s="1"/>
  <c r="U32" i="13" s="1"/>
  <c r="AY37" i="13"/>
  <c r="CG43" i="13"/>
  <c r="AP24" i="13"/>
  <c r="F20" i="13"/>
  <c r="BV20" i="13"/>
  <c r="F12" i="13"/>
  <c r="AP28" i="13"/>
  <c r="AR28" i="13" s="1"/>
  <c r="BV12" i="13"/>
  <c r="BX16" i="13"/>
  <c r="BZ16" i="13" s="1"/>
  <c r="H12" i="13"/>
  <c r="J12" i="13" s="1"/>
  <c r="H6" i="13"/>
  <c r="BX24" i="13"/>
  <c r="BZ24" i="13" s="1"/>
  <c r="F8" i="13"/>
  <c r="H7" i="13"/>
  <c r="BO11" i="13"/>
  <c r="AF6" i="13"/>
  <c r="AD6" i="13"/>
  <c r="AC6" i="13"/>
  <c r="AD18" i="13"/>
  <c r="AC18" i="13"/>
  <c r="AE18" i="13" s="1"/>
  <c r="AF18" i="13"/>
  <c r="AG18" i="13" s="1"/>
  <c r="BO25" i="13"/>
  <c r="AN16" i="13"/>
  <c r="AG16" i="13"/>
  <c r="AN24" i="13"/>
  <c r="F16" i="13"/>
  <c r="H14" i="13"/>
  <c r="H16" i="13" s="1"/>
  <c r="CG26" i="13"/>
  <c r="CI26" i="13"/>
  <c r="BV28" i="13"/>
  <c r="BX28" i="13"/>
  <c r="BZ28" i="13" s="1"/>
  <c r="AP8" i="13"/>
  <c r="BV8" i="13"/>
  <c r="BX8" i="13"/>
  <c r="AN20" i="13"/>
  <c r="AY26" i="13"/>
  <c r="CW24" i="13"/>
  <c r="BW34" i="13"/>
  <c r="CJ26" i="13"/>
  <c r="BY8" i="13"/>
  <c r="S13" i="13"/>
  <c r="S19" i="13" s="1"/>
  <c r="U19" i="13" s="1"/>
  <c r="CW16" i="13"/>
  <c r="CI11" i="13"/>
  <c r="G34" i="13"/>
  <c r="G36" i="13"/>
  <c r="G32" i="13"/>
  <c r="BB32" i="13"/>
  <c r="S34" i="13"/>
  <c r="CJ11" i="13"/>
  <c r="AE7" i="13"/>
  <c r="I36" i="13"/>
  <c r="I32" i="13"/>
  <c r="BA19" i="13"/>
  <c r="AY19" i="13"/>
  <c r="AZ19" i="13"/>
  <c r="CW15" i="13"/>
  <c r="AD27" i="13"/>
  <c r="AF27" i="13"/>
  <c r="BO28" i="13"/>
  <c r="BA37" i="13"/>
  <c r="BC37" i="13" s="1"/>
  <c r="BO10" i="13"/>
  <c r="AG25" i="13"/>
  <c r="AC27" i="13"/>
  <c r="BA11" i="13"/>
  <c r="CW11" i="13"/>
  <c r="BO16" i="13"/>
  <c r="CI43" i="13"/>
  <c r="CH43" i="13"/>
  <c r="T26" i="13"/>
  <c r="BB19" i="13"/>
  <c r="H19" i="13"/>
  <c r="CJ43" i="13"/>
  <c r="S7" i="13"/>
  <c r="AP12" i="13"/>
  <c r="CG11" i="13"/>
  <c r="BW20" i="13"/>
  <c r="CW12" i="13"/>
  <c r="CJ19" i="13"/>
  <c r="AO20" i="13"/>
  <c r="BY20" i="13"/>
  <c r="AC23" i="13"/>
  <c r="AE23" i="13" s="1"/>
  <c r="AG23" i="13" s="1"/>
  <c r="BO23" i="13"/>
  <c r="H27" i="13"/>
  <c r="H28" i="13" s="1"/>
  <c r="J28" i="13" s="1"/>
  <c r="AG11" i="13"/>
  <c r="BO24" i="13"/>
  <c r="F24" i="13"/>
  <c r="H22" i="13"/>
  <c r="H24" i="13" s="1"/>
  <c r="J24" i="13" s="1"/>
  <c r="G24" i="13"/>
  <c r="AY11" i="13"/>
  <c r="BX20" i="13"/>
  <c r="AG24" i="13"/>
  <c r="AO28" i="13"/>
  <c r="CG32" i="13"/>
  <c r="Q11" i="13"/>
  <c r="CW23" i="13"/>
  <c r="CJ32" i="13"/>
  <c r="AY32" i="13"/>
  <c r="BW24" i="13"/>
  <c r="AP20" i="13"/>
  <c r="CI32" i="13"/>
  <c r="CG37" i="13"/>
  <c r="CH37" i="13"/>
  <c r="BA43" i="13"/>
  <c r="AE19" i="12"/>
  <c r="AE23" i="12"/>
  <c r="BO11" i="12"/>
  <c r="AZ19" i="12"/>
  <c r="R26" i="12"/>
  <c r="R47" i="12" s="1"/>
  <c r="S17" i="12"/>
  <c r="CH43" i="12"/>
  <c r="S35" i="12"/>
  <c r="S37" i="12" s="1"/>
  <c r="U37" i="12" s="1"/>
  <c r="S40" i="12"/>
  <c r="AZ11" i="12"/>
  <c r="S8" i="12"/>
  <c r="S23" i="12"/>
  <c r="R32" i="12"/>
  <c r="CH32" i="12"/>
  <c r="BA37" i="12"/>
  <c r="AO28" i="12"/>
  <c r="G12" i="12"/>
  <c r="BW16" i="12"/>
  <c r="BX16" i="12"/>
  <c r="BZ16" i="12" s="1"/>
  <c r="G8" i="12"/>
  <c r="G36" i="12" s="1"/>
  <c r="AP16" i="12"/>
  <c r="AG23" i="12"/>
  <c r="AG20" i="12"/>
  <c r="CW14" i="12"/>
  <c r="CW24" i="12"/>
  <c r="BO29" i="12"/>
  <c r="BB19" i="12"/>
  <c r="T37" i="12"/>
  <c r="BB26" i="12"/>
  <c r="CJ43" i="12"/>
  <c r="CJ47" i="12" s="1"/>
  <c r="BB11" i="12"/>
  <c r="BB37" i="12"/>
  <c r="BB43" i="12"/>
  <c r="CJ19" i="12"/>
  <c r="CJ51" i="12" s="1"/>
  <c r="CJ32" i="12"/>
  <c r="AQ28" i="12"/>
  <c r="I12" i="12"/>
  <c r="AQ20" i="12"/>
  <c r="BY28" i="12"/>
  <c r="BY24" i="12"/>
  <c r="BY36" i="12" s="1"/>
  <c r="I8" i="12"/>
  <c r="I32" i="12" s="1"/>
  <c r="AQ24" i="12"/>
  <c r="AQ36" i="12" s="1"/>
  <c r="BY8" i="12"/>
  <c r="AE7" i="12"/>
  <c r="AG7" i="12" s="1"/>
  <c r="AE8" i="12"/>
  <c r="BO19" i="12"/>
  <c r="CW15" i="12"/>
  <c r="AE18" i="12"/>
  <c r="AG18" i="12" s="1"/>
  <c r="CW20" i="12"/>
  <c r="BO28" i="12"/>
  <c r="BO16" i="12"/>
  <c r="CW29" i="12"/>
  <c r="CW10" i="12"/>
  <c r="BO12" i="12"/>
  <c r="BO20" i="12"/>
  <c r="BO15" i="12"/>
  <c r="AE15" i="12"/>
  <c r="AG15" i="12" s="1"/>
  <c r="AE16" i="12"/>
  <c r="AG16" i="12" s="1"/>
  <c r="AG28" i="12"/>
  <c r="CW28" i="12"/>
  <c r="AE11" i="12"/>
  <c r="AG11" i="12" s="1"/>
  <c r="CW16" i="12"/>
  <c r="AE25" i="12"/>
  <c r="AG25" i="12" s="1"/>
  <c r="CW23" i="12"/>
  <c r="BA32" i="12"/>
  <c r="BC32" i="12" s="1"/>
  <c r="CG11" i="12"/>
  <c r="Q26" i="12"/>
  <c r="AY32" i="12"/>
  <c r="BA26" i="12"/>
  <c r="CI32" i="12"/>
  <c r="CK32" i="12" s="1"/>
  <c r="AY43" i="12"/>
  <c r="Q19" i="12"/>
  <c r="S22" i="12"/>
  <c r="CI26" i="12"/>
  <c r="CK26" i="12" s="1"/>
  <c r="AY19" i="12"/>
  <c r="BA6" i="12"/>
  <c r="Q37" i="12"/>
  <c r="AY37" i="12"/>
  <c r="Q11" i="12"/>
  <c r="CG26" i="12"/>
  <c r="AY26" i="12"/>
  <c r="BA43" i="12"/>
  <c r="CG19" i="12"/>
  <c r="AP8" i="12"/>
  <c r="AK31" i="12" s="1"/>
  <c r="H20" i="12"/>
  <c r="J20" i="12" s="1"/>
  <c r="H24" i="12"/>
  <c r="J24" i="12" s="1"/>
  <c r="F12" i="12"/>
  <c r="BV28" i="12"/>
  <c r="H8" i="12"/>
  <c r="J8" i="12" s="1"/>
  <c r="H12" i="12"/>
  <c r="AP24" i="12"/>
  <c r="F28" i="12"/>
  <c r="F34" i="12" s="1"/>
  <c r="H27" i="12"/>
  <c r="BX20" i="12"/>
  <c r="BX8" i="12"/>
  <c r="H14" i="12"/>
  <c r="H16" i="12" s="1"/>
  <c r="BX24" i="12"/>
  <c r="CI37" i="12"/>
  <c r="CK37" i="12" s="1"/>
  <c r="CW19" i="12"/>
  <c r="BO27" i="12"/>
  <c r="BO14" i="12"/>
  <c r="AQ34" i="12"/>
  <c r="Q51" i="12"/>
  <c r="F32" i="12"/>
  <c r="J12" i="12"/>
  <c r="S11" i="12"/>
  <c r="U11" i="12" s="1"/>
  <c r="G34" i="12"/>
  <c r="AG14" i="12"/>
  <c r="I34" i="12"/>
  <c r="C31" i="12"/>
  <c r="I36" i="12"/>
  <c r="R49" i="12"/>
  <c r="BX12" i="12"/>
  <c r="BZ12" i="12" s="1"/>
  <c r="AG10" i="12"/>
  <c r="CW11" i="12"/>
  <c r="CW12" i="12"/>
  <c r="BZ20" i="12"/>
  <c r="CW27" i="12"/>
  <c r="S43" i="12"/>
  <c r="U43" i="12" s="1"/>
  <c r="BO23" i="12"/>
  <c r="BO25" i="12"/>
  <c r="T51" i="12"/>
  <c r="T49" i="12"/>
  <c r="T47" i="12"/>
  <c r="AG8" i="12"/>
  <c r="AP12" i="12"/>
  <c r="AR16" i="12"/>
  <c r="AG19" i="12"/>
  <c r="BV16" i="12"/>
  <c r="AN12" i="12"/>
  <c r="AN32" i="12" s="1"/>
  <c r="S14" i="12"/>
  <c r="S19" i="12" s="1"/>
  <c r="U19" i="12" s="1"/>
  <c r="S21" i="12"/>
  <c r="BX28" i="12"/>
  <c r="AC27" i="12"/>
  <c r="AE27" i="12" s="1"/>
  <c r="F24" i="12"/>
  <c r="CH26" i="12"/>
  <c r="CH49" i="12" s="1"/>
  <c r="AF27" i="12"/>
  <c r="G32" i="12"/>
  <c r="AZ43" i="12"/>
  <c r="AO24" i="12"/>
  <c r="AO34" i="12" s="1"/>
  <c r="BW24" i="12"/>
  <c r="AZ32" i="12"/>
  <c r="AP20" i="12"/>
  <c r="AR20" i="12" s="1"/>
  <c r="AC6" i="12"/>
  <c r="AG12" i="12"/>
  <c r="CG32" i="12"/>
  <c r="CG49" i="12" s="1"/>
  <c r="AD6" i="12"/>
  <c r="Q32" i="12"/>
  <c r="H26" i="12"/>
  <c r="S28" i="12"/>
  <c r="S32" i="12" s="1"/>
  <c r="U32" i="12" s="1"/>
  <c r="CG37" i="12"/>
  <c r="CH37" i="12"/>
  <c r="BV12" i="12"/>
  <c r="Q43" i="12"/>
  <c r="CW18" i="7"/>
  <c r="CK32" i="7"/>
  <c r="BX12" i="7"/>
  <c r="BZ12" i="7" s="1"/>
  <c r="BY32" i="7"/>
  <c r="BY36" i="7"/>
  <c r="BY34" i="7"/>
  <c r="BZ16" i="7"/>
  <c r="CW23" i="7"/>
  <c r="CJ51" i="7"/>
  <c r="CJ49" i="7"/>
  <c r="CJ47" i="7"/>
  <c r="CK11" i="7"/>
  <c r="CK37" i="7"/>
  <c r="CW15" i="7"/>
  <c r="CV35" i="7"/>
  <c r="CV37" i="7"/>
  <c r="CV33" i="7"/>
  <c r="CI32" i="7"/>
  <c r="BX8" i="7"/>
  <c r="CW12" i="7"/>
  <c r="BV24" i="7"/>
  <c r="CG32" i="7"/>
  <c r="CG49" i="7" s="1"/>
  <c r="CI15" i="7"/>
  <c r="CI19" i="7" s="1"/>
  <c r="CK19" i="7" s="1"/>
  <c r="CI21" i="7"/>
  <c r="CI26" i="7" s="1"/>
  <c r="CK26" i="7" s="1"/>
  <c r="CI6" i="7"/>
  <c r="CI11" i="7" s="1"/>
  <c r="BV12" i="7"/>
  <c r="CH19" i="7"/>
  <c r="CH51" i="7" s="1"/>
  <c r="CI39" i="7"/>
  <c r="CI43" i="7" s="1"/>
  <c r="CK43" i="7" s="1"/>
  <c r="CS42" i="7"/>
  <c r="CV44" i="7"/>
  <c r="BV16" i="7"/>
  <c r="CT42" i="7"/>
  <c r="BW20" i="7"/>
  <c r="BW36" i="7" s="1"/>
  <c r="CI7" i="7"/>
  <c r="BV8" i="7"/>
  <c r="AQ34" i="7"/>
  <c r="BO25" i="7"/>
  <c r="AR16" i="7"/>
  <c r="AR28" i="7"/>
  <c r="AY51" i="7"/>
  <c r="AZ51" i="7"/>
  <c r="AZ49" i="7"/>
  <c r="AZ47" i="7"/>
  <c r="BO10" i="7"/>
  <c r="BO14" i="7"/>
  <c r="BB51" i="7"/>
  <c r="BB49" i="7"/>
  <c r="BB47" i="7"/>
  <c r="BO15" i="7"/>
  <c r="BO19" i="7"/>
  <c r="AO34" i="7"/>
  <c r="AO32" i="7"/>
  <c r="AO36" i="7"/>
  <c r="BO16" i="7"/>
  <c r="AN36" i="7"/>
  <c r="BA21" i="7"/>
  <c r="BA26" i="7" s="1"/>
  <c r="BC26" i="7" s="1"/>
  <c r="AP23" i="7"/>
  <c r="AP24" i="7" s="1"/>
  <c r="AR24" i="7" s="1"/>
  <c r="AY26" i="7"/>
  <c r="AY49" i="7" s="1"/>
  <c r="BA30" i="7"/>
  <c r="BA32" i="7" s="1"/>
  <c r="BC32" i="7" s="1"/>
  <c r="BA6" i="7"/>
  <c r="BA11" i="7" s="1"/>
  <c r="BC11" i="7" s="1"/>
  <c r="AP18" i="7"/>
  <c r="AP20" i="7" s="1"/>
  <c r="BA34" i="7"/>
  <c r="AQ36" i="7"/>
  <c r="AK31" i="7"/>
  <c r="AP10" i="7"/>
  <c r="AP12" i="7" s="1"/>
  <c r="AR12" i="7" s="1"/>
  <c r="BA18" i="7"/>
  <c r="BA19" i="7" s="1"/>
  <c r="BC19" i="7" s="1"/>
  <c r="BA35" i="7"/>
  <c r="BA39" i="7"/>
  <c r="BA43" i="7" s="1"/>
  <c r="BC43" i="7" s="1"/>
  <c r="AN32" i="7"/>
  <c r="BO8" i="7"/>
  <c r="BM29" i="7"/>
  <c r="AQ32" i="7"/>
  <c r="S24" i="7"/>
  <c r="G8" i="7"/>
  <c r="G12" i="7"/>
  <c r="S35" i="7"/>
  <c r="F20" i="7"/>
  <c r="G24" i="7"/>
  <c r="AG16" i="7"/>
  <c r="T11" i="7"/>
  <c r="AE12" i="7"/>
  <c r="AG12" i="7" s="1"/>
  <c r="S16" i="7"/>
  <c r="S8" i="7"/>
  <c r="T37" i="7"/>
  <c r="AG25" i="7"/>
  <c r="AE7" i="7"/>
  <c r="AG7" i="7" s="1"/>
  <c r="S7" i="7"/>
  <c r="AC10" i="7"/>
  <c r="F24" i="7"/>
  <c r="G28" i="7"/>
  <c r="S28" i="7"/>
  <c r="AD23" i="7"/>
  <c r="AF23" i="7"/>
  <c r="S22" i="7"/>
  <c r="T19" i="7"/>
  <c r="AE23" i="7"/>
  <c r="AG23" i="7" s="1"/>
  <c r="AE19" i="7"/>
  <c r="AG19" i="7" s="1"/>
  <c r="Q19" i="7"/>
  <c r="S42" i="7"/>
  <c r="AG28" i="7"/>
  <c r="F12" i="7"/>
  <c r="G16" i="7"/>
  <c r="G32" i="7" s="1"/>
  <c r="S30" i="7"/>
  <c r="AE15" i="7"/>
  <c r="AG15" i="7" s="1"/>
  <c r="R32" i="7"/>
  <c r="Q32" i="7"/>
  <c r="AD10" i="7"/>
  <c r="S6" i="7"/>
  <c r="S23" i="7"/>
  <c r="AD6" i="7"/>
  <c r="AF6" i="7"/>
  <c r="R26" i="7"/>
  <c r="AE8" i="7"/>
  <c r="AG8" i="7" s="1"/>
  <c r="AE20" i="7"/>
  <c r="AG20" i="7" s="1"/>
  <c r="S41" i="7"/>
  <c r="AF18" i="7"/>
  <c r="S14" i="7"/>
  <c r="S18" i="7"/>
  <c r="S10" i="7"/>
  <c r="S40" i="7"/>
  <c r="AC27" i="7"/>
  <c r="R11" i="7"/>
  <c r="AD27" i="7"/>
  <c r="S25" i="7"/>
  <c r="S31" i="7"/>
  <c r="AE24" i="7"/>
  <c r="AG24" i="7" s="1"/>
  <c r="Q37" i="7"/>
  <c r="R19" i="7"/>
  <c r="R37" i="7"/>
  <c r="AC14" i="7"/>
  <c r="AE29" i="7"/>
  <c r="AG29" i="7" s="1"/>
  <c r="Q11" i="7"/>
  <c r="Q26" i="7"/>
  <c r="AD14" i="7"/>
  <c r="AG11" i="7"/>
  <c r="S39" i="7"/>
  <c r="T26" i="7"/>
  <c r="R43" i="7"/>
  <c r="T32" i="7"/>
  <c r="AC18" i="7"/>
  <c r="AE18" i="7" s="1"/>
  <c r="S13" i="7"/>
  <c r="T43" i="7"/>
  <c r="S9" i="7"/>
  <c r="S21" i="7"/>
  <c r="S29" i="7"/>
  <c r="H10" i="7"/>
  <c r="S17" i="7"/>
  <c r="S36" i="7"/>
  <c r="S34" i="7"/>
  <c r="Q43" i="7"/>
  <c r="I16" i="7"/>
  <c r="H15" i="7"/>
  <c r="H18" i="7"/>
  <c r="I24" i="7"/>
  <c r="H14" i="7"/>
  <c r="H19" i="7"/>
  <c r="H22" i="7"/>
  <c r="H23" i="7"/>
  <c r="H26" i="7"/>
  <c r="H27" i="7"/>
  <c r="H11" i="7"/>
  <c r="H12" i="7" s="1"/>
  <c r="I20" i="7"/>
  <c r="I12" i="7"/>
  <c r="I28" i="7"/>
  <c r="H6" i="7"/>
  <c r="H7" i="7"/>
  <c r="I8" i="7"/>
  <c r="BM37" i="14" l="1"/>
  <c r="BM33" i="14"/>
  <c r="BM35" i="14"/>
  <c r="AZ51" i="14"/>
  <c r="AZ47" i="14"/>
  <c r="BV32" i="14"/>
  <c r="BV36" i="14"/>
  <c r="CH49" i="13"/>
  <c r="AZ49" i="13"/>
  <c r="BC43" i="13"/>
  <c r="AZ51" i="13"/>
  <c r="AZ47" i="13"/>
  <c r="BW32" i="13"/>
  <c r="AO36" i="13"/>
  <c r="AR24" i="13"/>
  <c r="AQ36" i="13"/>
  <c r="AO34" i="13"/>
  <c r="AQ34" i="13"/>
  <c r="AR12" i="13"/>
  <c r="CU35" i="12"/>
  <c r="CU44" i="12"/>
  <c r="CU42" i="12"/>
  <c r="CW7" i="12"/>
  <c r="CU46" i="12"/>
  <c r="CU33" i="12"/>
  <c r="BO7" i="12"/>
  <c r="CH51" i="12"/>
  <c r="CJ49" i="12"/>
  <c r="BC43" i="12"/>
  <c r="BC26" i="12"/>
  <c r="AY51" i="12"/>
  <c r="BB51" i="12"/>
  <c r="BB49" i="12"/>
  <c r="BB47" i="12"/>
  <c r="BV34" i="12"/>
  <c r="BZ28" i="12"/>
  <c r="BY32" i="12"/>
  <c r="BZ24" i="12"/>
  <c r="BZ36" i="12" s="1"/>
  <c r="BW34" i="12"/>
  <c r="BY34" i="12"/>
  <c r="AQ32" i="12"/>
  <c r="AR24" i="12"/>
  <c r="AR8" i="12"/>
  <c r="BX20" i="7"/>
  <c r="BZ20" i="7" s="1"/>
  <c r="AP34" i="7"/>
  <c r="AE10" i="14"/>
  <c r="AG10" i="14" s="1"/>
  <c r="AE27" i="14"/>
  <c r="AG27" i="14" s="1"/>
  <c r="S11" i="14"/>
  <c r="U11" i="14" s="1"/>
  <c r="BA11" i="14"/>
  <c r="BC11" i="14" s="1"/>
  <c r="BV34" i="14"/>
  <c r="CT33" i="14"/>
  <c r="AZ49" i="14"/>
  <c r="U32" i="14"/>
  <c r="R51" i="14"/>
  <c r="U37" i="14"/>
  <c r="BC32" i="14"/>
  <c r="BX36" i="14"/>
  <c r="AR24" i="14"/>
  <c r="CJ47" i="14"/>
  <c r="BX32" i="14"/>
  <c r="BB47" i="14"/>
  <c r="CI51" i="14"/>
  <c r="CI49" i="14"/>
  <c r="CI47" i="14"/>
  <c r="CK11" i="14"/>
  <c r="BO7" i="14"/>
  <c r="I32" i="14"/>
  <c r="BW34" i="14"/>
  <c r="CH51" i="14"/>
  <c r="CH49" i="14"/>
  <c r="CH47" i="14"/>
  <c r="BX34" i="14"/>
  <c r="I36" i="14"/>
  <c r="F32" i="14"/>
  <c r="BZ12" i="14"/>
  <c r="I34" i="14"/>
  <c r="BC19" i="14"/>
  <c r="T47" i="14"/>
  <c r="BB49" i="14"/>
  <c r="T49" i="14"/>
  <c r="BB51" i="14"/>
  <c r="BY36" i="14"/>
  <c r="BZ8" i="14"/>
  <c r="BY32" i="14"/>
  <c r="BY34" i="14"/>
  <c r="BS31" i="14"/>
  <c r="AR16" i="14"/>
  <c r="AQ36" i="14"/>
  <c r="AQ32" i="14"/>
  <c r="AK31" i="14"/>
  <c r="AQ34" i="14"/>
  <c r="AR8" i="14"/>
  <c r="AN34" i="14"/>
  <c r="AN32" i="14"/>
  <c r="AN36" i="14"/>
  <c r="BO14" i="14"/>
  <c r="AP34" i="14"/>
  <c r="AP36" i="14"/>
  <c r="AP32" i="14"/>
  <c r="T51" i="14"/>
  <c r="CG51" i="14"/>
  <c r="CG49" i="14"/>
  <c r="CG47" i="14"/>
  <c r="H34" i="14"/>
  <c r="H36" i="14"/>
  <c r="H32" i="14"/>
  <c r="Q51" i="14"/>
  <c r="Q49" i="14"/>
  <c r="Q47" i="14"/>
  <c r="CW6" i="14"/>
  <c r="CW7" i="14"/>
  <c r="CK43" i="14"/>
  <c r="CJ51" i="14"/>
  <c r="BZ24" i="14"/>
  <c r="AY51" i="14"/>
  <c r="AY49" i="14"/>
  <c r="AY47" i="14"/>
  <c r="S26" i="14"/>
  <c r="U26" i="14" s="1"/>
  <c r="BW36" i="14"/>
  <c r="G34" i="14"/>
  <c r="G36" i="14"/>
  <c r="G32" i="14"/>
  <c r="CV35" i="14"/>
  <c r="J12" i="14"/>
  <c r="CK19" i="14"/>
  <c r="BC26" i="14"/>
  <c r="J8" i="14"/>
  <c r="I34" i="13"/>
  <c r="AR20" i="13"/>
  <c r="AE27" i="13"/>
  <c r="BO18" i="13"/>
  <c r="CW14" i="13"/>
  <c r="R51" i="13"/>
  <c r="S37" i="13"/>
  <c r="U37" i="13" s="1"/>
  <c r="S11" i="13"/>
  <c r="U11" i="13" s="1"/>
  <c r="CK43" i="13"/>
  <c r="AO32" i="13"/>
  <c r="H20" i="13"/>
  <c r="J20" i="13" s="1"/>
  <c r="BW36" i="13"/>
  <c r="AP16" i="13"/>
  <c r="AR16" i="13" s="1"/>
  <c r="CI19" i="13"/>
  <c r="CI49" i="13" s="1"/>
  <c r="BA26" i="13"/>
  <c r="BC26" i="13" s="1"/>
  <c r="BA32" i="13"/>
  <c r="BC32" i="13" s="1"/>
  <c r="CK32" i="13"/>
  <c r="H8" i="13"/>
  <c r="J8" i="13" s="1"/>
  <c r="J34" i="13" s="1"/>
  <c r="AN32" i="13"/>
  <c r="AP34" i="13"/>
  <c r="AP36" i="13"/>
  <c r="AP32" i="13"/>
  <c r="AK31" i="13"/>
  <c r="AR8" i="13"/>
  <c r="F32" i="13"/>
  <c r="F34" i="13"/>
  <c r="F36" i="13"/>
  <c r="CW27" i="13"/>
  <c r="AY51" i="13"/>
  <c r="AY49" i="13"/>
  <c r="AY47" i="13"/>
  <c r="U26" i="13"/>
  <c r="CK19" i="13"/>
  <c r="BC11" i="13"/>
  <c r="CH51" i="13"/>
  <c r="AN34" i="13"/>
  <c r="AG27" i="13"/>
  <c r="BY36" i="13"/>
  <c r="BZ8" i="13"/>
  <c r="BY34" i="13"/>
  <c r="BY32" i="13"/>
  <c r="BS31" i="13"/>
  <c r="AN36" i="13"/>
  <c r="T47" i="13"/>
  <c r="Q51" i="13"/>
  <c r="Q49" i="13"/>
  <c r="Q47" i="13"/>
  <c r="CW10" i="13"/>
  <c r="BV34" i="13"/>
  <c r="BV32" i="13"/>
  <c r="BV36" i="13"/>
  <c r="CJ51" i="13"/>
  <c r="CJ49" i="13"/>
  <c r="CJ47" i="13"/>
  <c r="CK11" i="13"/>
  <c r="BO27" i="13"/>
  <c r="CI51" i="13"/>
  <c r="CI47" i="13"/>
  <c r="BC19" i="13"/>
  <c r="CW6" i="13"/>
  <c r="BB47" i="13"/>
  <c r="BZ20" i="13"/>
  <c r="CG51" i="13"/>
  <c r="CG49" i="13"/>
  <c r="CG47" i="13"/>
  <c r="CH47" i="13"/>
  <c r="BB49" i="13"/>
  <c r="BM6" i="13"/>
  <c r="BB51" i="13"/>
  <c r="CW7" i="13"/>
  <c r="AE6" i="13"/>
  <c r="AG6" i="13" s="1"/>
  <c r="C31" i="13"/>
  <c r="T49" i="13"/>
  <c r="CK26" i="13"/>
  <c r="T51" i="13"/>
  <c r="BO7" i="13"/>
  <c r="S47" i="13"/>
  <c r="S51" i="13"/>
  <c r="S49" i="13"/>
  <c r="CW18" i="13"/>
  <c r="AG7" i="13"/>
  <c r="BX32" i="13"/>
  <c r="BX36" i="13"/>
  <c r="BX34" i="13"/>
  <c r="BO18" i="12"/>
  <c r="CI11" i="12"/>
  <c r="CK11" i="12" s="1"/>
  <c r="AZ51" i="12"/>
  <c r="BA19" i="12"/>
  <c r="R51" i="12"/>
  <c r="S26" i="12"/>
  <c r="U26" i="12" s="1"/>
  <c r="U51" i="12" s="1"/>
  <c r="BA11" i="12"/>
  <c r="BC11" i="12" s="1"/>
  <c r="CK19" i="12"/>
  <c r="BC37" i="12"/>
  <c r="BZ8" i="12"/>
  <c r="BS31" i="12"/>
  <c r="CW18" i="12"/>
  <c r="AY47" i="12"/>
  <c r="AY49" i="12"/>
  <c r="Q47" i="12"/>
  <c r="CI43" i="12"/>
  <c r="CK43" i="12" s="1"/>
  <c r="J16" i="12"/>
  <c r="J32" i="12" s="1"/>
  <c r="F36" i="12"/>
  <c r="AN34" i="12"/>
  <c r="H28" i="12"/>
  <c r="J28" i="12" s="1"/>
  <c r="AN36" i="12"/>
  <c r="AP28" i="12"/>
  <c r="AR28" i="12" s="1"/>
  <c r="U49" i="12"/>
  <c r="U47" i="12"/>
  <c r="BV32" i="12"/>
  <c r="CH47" i="12"/>
  <c r="AE6" i="12"/>
  <c r="BX36" i="12"/>
  <c r="AO32" i="12"/>
  <c r="AP36" i="12"/>
  <c r="AZ47" i="12"/>
  <c r="BV36" i="12"/>
  <c r="CG51" i="12"/>
  <c r="AG27" i="12"/>
  <c r="BC19" i="12"/>
  <c r="AR12" i="12"/>
  <c r="AZ49" i="12"/>
  <c r="AO36" i="12"/>
  <c r="CG47" i="12"/>
  <c r="BW32" i="12"/>
  <c r="BX32" i="12"/>
  <c r="BX34" i="12"/>
  <c r="BW36" i="12"/>
  <c r="CW8" i="12"/>
  <c r="BO8" i="12"/>
  <c r="BM6" i="12"/>
  <c r="S47" i="12"/>
  <c r="S51" i="12"/>
  <c r="S49" i="12"/>
  <c r="Q49" i="12"/>
  <c r="BS31" i="7"/>
  <c r="BZ8" i="7"/>
  <c r="BW32" i="7"/>
  <c r="CG51" i="7"/>
  <c r="CH47" i="7"/>
  <c r="CK49" i="7"/>
  <c r="CK51" i="7"/>
  <c r="CK47" i="7"/>
  <c r="CH49" i="7"/>
  <c r="CS33" i="7"/>
  <c r="CS35" i="7"/>
  <c r="CS37" i="7"/>
  <c r="BW34" i="7"/>
  <c r="CG47" i="7"/>
  <c r="CU46" i="7"/>
  <c r="CW8" i="7"/>
  <c r="CU42" i="7"/>
  <c r="CU44" i="7"/>
  <c r="CT35" i="7"/>
  <c r="CT33" i="7"/>
  <c r="CT37" i="7"/>
  <c r="BV34" i="7"/>
  <c r="BV32" i="7"/>
  <c r="BV36" i="7"/>
  <c r="CI51" i="7"/>
  <c r="CI49" i="7"/>
  <c r="CI47" i="7"/>
  <c r="AY47" i="7"/>
  <c r="AP36" i="7"/>
  <c r="AP32" i="7"/>
  <c r="BM18" i="7"/>
  <c r="BO29" i="7"/>
  <c r="AR20" i="7"/>
  <c r="AR32" i="7" s="1"/>
  <c r="BM23" i="7"/>
  <c r="BO23" i="7" s="1"/>
  <c r="BA37" i="7"/>
  <c r="BC37" i="7" s="1"/>
  <c r="BC51" i="7" s="1"/>
  <c r="G34" i="7"/>
  <c r="F34" i="7"/>
  <c r="AE10" i="7"/>
  <c r="AG10" i="7" s="1"/>
  <c r="G36" i="7"/>
  <c r="S11" i="7"/>
  <c r="T51" i="7"/>
  <c r="AE14" i="7"/>
  <c r="AG14" i="7" s="1"/>
  <c r="T49" i="7"/>
  <c r="S43" i="7"/>
  <c r="U43" i="7" s="1"/>
  <c r="AG18" i="7"/>
  <c r="S32" i="7"/>
  <c r="U32" i="7" s="1"/>
  <c r="S37" i="7"/>
  <c r="U37" i="7" s="1"/>
  <c r="R49" i="7"/>
  <c r="Q49" i="7"/>
  <c r="T47" i="7"/>
  <c r="AF33" i="7"/>
  <c r="AE27" i="7"/>
  <c r="AG27" i="7" s="1"/>
  <c r="AE6" i="7"/>
  <c r="AD33" i="7"/>
  <c r="F36" i="7"/>
  <c r="F32" i="7"/>
  <c r="Q47" i="7"/>
  <c r="R51" i="7"/>
  <c r="S19" i="7"/>
  <c r="U19" i="7" s="1"/>
  <c r="R47" i="7"/>
  <c r="H20" i="7"/>
  <c r="J20" i="7" s="1"/>
  <c r="Q51" i="7"/>
  <c r="H16" i="7"/>
  <c r="J16" i="7" s="1"/>
  <c r="S26" i="7"/>
  <c r="U26" i="7" s="1"/>
  <c r="U11" i="7"/>
  <c r="I32" i="7"/>
  <c r="I34" i="7"/>
  <c r="I36" i="7"/>
  <c r="H24" i="7"/>
  <c r="J24" i="7" s="1"/>
  <c r="J12" i="7"/>
  <c r="H28" i="7"/>
  <c r="J28" i="7" s="1"/>
  <c r="H8" i="7"/>
  <c r="BA47" i="14" l="1"/>
  <c r="BA49" i="14"/>
  <c r="BA51" i="14"/>
  <c r="CW35" i="13"/>
  <c r="CW33" i="13"/>
  <c r="CW37" i="13"/>
  <c r="CW44" i="12"/>
  <c r="CW42" i="12"/>
  <c r="CW46" i="12"/>
  <c r="BO6" i="12"/>
  <c r="CK49" i="12"/>
  <c r="BA51" i="12"/>
  <c r="BA49" i="12"/>
  <c r="BZ34" i="12"/>
  <c r="BZ32" i="12"/>
  <c r="BX36" i="7"/>
  <c r="BX32" i="7"/>
  <c r="BX34" i="7"/>
  <c r="CU33" i="14"/>
  <c r="BC51" i="14"/>
  <c r="CW18" i="14"/>
  <c r="CW33" i="14" s="1"/>
  <c r="CU35" i="14"/>
  <c r="U47" i="14"/>
  <c r="U49" i="14"/>
  <c r="U51" i="14"/>
  <c r="S47" i="14"/>
  <c r="S49" i="14"/>
  <c r="S51" i="14"/>
  <c r="BZ34" i="14"/>
  <c r="BZ32" i="14"/>
  <c r="BZ36" i="14"/>
  <c r="J34" i="14"/>
  <c r="J36" i="14"/>
  <c r="J32" i="14"/>
  <c r="AR36" i="14"/>
  <c r="AR32" i="14"/>
  <c r="AR34" i="14"/>
  <c r="CK51" i="14"/>
  <c r="CK49" i="14"/>
  <c r="CK47" i="14"/>
  <c r="AG6" i="14"/>
  <c r="BC47" i="14"/>
  <c r="BC49" i="14"/>
  <c r="BO6" i="14"/>
  <c r="U47" i="13"/>
  <c r="BA49" i="13"/>
  <c r="BA51" i="13"/>
  <c r="H32" i="13"/>
  <c r="H34" i="13"/>
  <c r="J32" i="13"/>
  <c r="J36" i="13"/>
  <c r="H36" i="13"/>
  <c r="U49" i="13"/>
  <c r="U51" i="13"/>
  <c r="BA47" i="13"/>
  <c r="CK51" i="13"/>
  <c r="CK49" i="13"/>
  <c r="CK47" i="13"/>
  <c r="BC51" i="13"/>
  <c r="BC49" i="13"/>
  <c r="BC47" i="13"/>
  <c r="AR36" i="13"/>
  <c r="AR32" i="13"/>
  <c r="AR34" i="13"/>
  <c r="BZ34" i="13"/>
  <c r="BZ32" i="13"/>
  <c r="BZ36" i="13"/>
  <c r="BO6" i="13"/>
  <c r="CK47" i="12"/>
  <c r="CK51" i="12"/>
  <c r="CI47" i="12"/>
  <c r="CI51" i="12"/>
  <c r="CI49" i="12"/>
  <c r="BC51" i="12"/>
  <c r="BA47" i="12"/>
  <c r="AP32" i="12"/>
  <c r="J36" i="12"/>
  <c r="J34" i="12"/>
  <c r="AP34" i="12"/>
  <c r="AR36" i="12"/>
  <c r="H32" i="12"/>
  <c r="H34" i="12"/>
  <c r="H36" i="12"/>
  <c r="AR34" i="12"/>
  <c r="CW6" i="12"/>
  <c r="AR32" i="12"/>
  <c r="BC47" i="12"/>
  <c r="BC49" i="12"/>
  <c r="AG6" i="12"/>
  <c r="CW46" i="7"/>
  <c r="CW42" i="7"/>
  <c r="CW44" i="7"/>
  <c r="BZ36" i="7"/>
  <c r="BZ34" i="7"/>
  <c r="BZ32" i="7"/>
  <c r="CU35" i="7"/>
  <c r="CU33" i="7"/>
  <c r="CU37" i="7"/>
  <c r="CW6" i="7"/>
  <c r="BC47" i="7"/>
  <c r="BC49" i="7"/>
  <c r="BO18" i="7"/>
  <c r="AR34" i="7"/>
  <c r="AR36" i="7"/>
  <c r="BA47" i="7"/>
  <c r="BA49" i="7"/>
  <c r="BA51" i="7"/>
  <c r="S47" i="7"/>
  <c r="S49" i="7"/>
  <c r="AG6" i="7"/>
  <c r="AE33" i="7"/>
  <c r="S51" i="7"/>
  <c r="C31" i="7"/>
  <c r="H36" i="7"/>
  <c r="H34" i="7"/>
  <c r="H32" i="7"/>
  <c r="U47" i="7"/>
  <c r="U51" i="7"/>
  <c r="U49" i="7"/>
  <c r="J8" i="7"/>
  <c r="CW35" i="14" l="1"/>
  <c r="CW37" i="14"/>
  <c r="BO37" i="14"/>
  <c r="BO33" i="14"/>
  <c r="BO35" i="14"/>
  <c r="CW37" i="12"/>
  <c r="CW33" i="12"/>
  <c r="CW35" i="12"/>
  <c r="CW37" i="7"/>
  <c r="CW33" i="7"/>
  <c r="CW35" i="7"/>
  <c r="AG33" i="7"/>
  <c r="J36" i="7"/>
  <c r="J34" i="7"/>
  <c r="J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Wisdom</author>
  </authors>
  <commentList>
    <comment ref="E4" authorId="0" shapeId="0" xr:uid="{BFDC2E3B-3C30-4EA1-AE2A-AA813EA4DB33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Sea transport based on CERDI seadistance database</t>
        </r>
      </text>
    </comment>
    <comment ref="P4" authorId="0" shapeId="0" xr:uid="{69FA61E7-34F9-4CCD-9CDA-F1188CE15DBA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closest port entry btw the countries</t>
        </r>
      </text>
    </comment>
    <comment ref="AB4" authorId="0" shapeId="0" xr:uid="{C2E6A242-B31D-4BE8-AC77-F52208A7AE10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Based on latest year and closest port entry btw different countries that constitutes &gt; 70% of the RoW region taken from CERDI distance database.
=== RESULTS ===
Grand mean (trade-weighted) km: 3240.034945033555
Grand SD   (trade-weighted) km: 4089.2456171631784
Dyad median (unweighted) km: 1843.54
Dyad median (trade-weighted) km: 1166.3
Min dyad km: 0.0 | Min positive km: 38.3525 | Max dyad km: 19095.3
Among-reporters mean of means km: 3279.870350447926
Among-reporters SD of means km: 3825.6383966658336
Among-reporters median of means km: 1658.1021449785026</t>
        </r>
      </text>
    </comment>
    <comment ref="AM4" authorId="0" shapeId="0" xr:uid="{F575A075-A684-4317-A5AB-39E0F668EB73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Sea transport based on CERDI seadistance database</t>
        </r>
      </text>
    </comment>
    <comment ref="AX4" authorId="0" shapeId="0" xr:uid="{7485FBD9-EB61-432A-8CAB-02CFA32503A4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closest port entry btw the countries</t>
        </r>
      </text>
    </comment>
    <comment ref="BJ4" authorId="0" shapeId="0" xr:uid="{A4736CE1-DBED-4D61-BFE7-E217E9DE2537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Based on latest year and closest port entry btw different countries that constitutes &gt; 70% of the RoW region taken from CERDI distance database.
=== RESULTS ===
Grand mean (trade-weighted) km: 3240.034945033555
Grand SD   (trade-weighted) km: 4089.2456171631784
Dyad median (unweighted) km: 1843.54
Dyad median (trade-weighted) km: 1166.3
Min dyad km: 0.0 | Min positive km: 38.3525 | Max dyad km: 19095.3
Among-reporters mean of means km: 3279.870350447926
Among-reporters SD of means km: 3825.6383966658336
Among-reporters median of means km: 1658.1021449785026</t>
        </r>
      </text>
    </comment>
    <comment ref="BU4" authorId="0" shapeId="0" xr:uid="{0473A3F4-47F9-49B5-846F-17F8A453AEAD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Sea transport based on CERDI seadistance database</t>
        </r>
      </text>
    </comment>
    <comment ref="CF4" authorId="0" shapeId="0" xr:uid="{2982B5AC-184D-4455-B6A8-36075C2B4786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closest port entry btw the countries</t>
        </r>
      </text>
    </comment>
    <comment ref="CR4" authorId="0" shapeId="0" xr:uid="{E54E6469-0A49-45E9-8A25-C474F40E8B02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Based on latest year and closest port entry btw different countries that constitutes &gt; 70% of the RoW region taken from CERDI distance database.
=== RESULTS ===
Grand mean (trade-weighted) km: 3240.034945033555
Grand SD   (trade-weighted) km: 4089.2456171631784
Dyad median (unweighted) km: 1843.54
Dyad median (trade-weighted) km: 1166.3
Min dyad km: 0.0 | Min positive km: 38.3525 | Max dyad km: 19095.3
Among-reporters mean of means km: 3279.870350447926
Among-reporters SD of means km: 3825.6383966658336
Among-reporters median of means km: 1658.1021449785026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Wisdom</author>
  </authors>
  <commentList>
    <comment ref="E4" authorId="0" shapeId="0" xr:uid="{4DD59453-6222-4FC8-AF98-F054E693D5B6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Sea transport based on CERDI seadistance database</t>
        </r>
      </text>
    </comment>
    <comment ref="P4" authorId="0" shapeId="0" xr:uid="{B7DFBA9A-91C8-4778-89C4-7AE740B2614F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closest port entry btw the countries</t>
        </r>
      </text>
    </comment>
    <comment ref="AB4" authorId="0" shapeId="0" xr:uid="{3A069BF9-D85F-4930-B0DE-3583D6FF01A2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Based on latest year and closest port entry btw different countries that constitutes &gt; 70% of the RoW region taken from CERDI distance database.
=== RESULTS ===
Grand mean (trade-weighted) km: 3240.034945033555
Grand SD   (trade-weighted) km: 4089.2456171631784
Dyad median (unweighted) km: 1843.54
Dyad median (trade-weighted) km: 1166.3
Min dyad km: 0.0 | Min positive km: 38.3525 | Max dyad km: 19095.3
Among-reporters mean of means km: 3279.870350447926
Among-reporters SD of means km: 3825.6383966658336
Among-reporters median of means km: 1658.1021449785026</t>
        </r>
      </text>
    </comment>
    <comment ref="AM4" authorId="0" shapeId="0" xr:uid="{93FA396E-D383-4BD5-AA42-63812ABD25B1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Sea transport based on CERDI seadistance database</t>
        </r>
      </text>
    </comment>
    <comment ref="AX4" authorId="0" shapeId="0" xr:uid="{51DC7900-7FC2-408B-A747-BD2F9587D8F2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closest port entry btw the countries</t>
        </r>
      </text>
    </comment>
    <comment ref="BJ4" authorId="0" shapeId="0" xr:uid="{28AD59EC-7D96-40AF-8628-3E5A1D668184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Based on latest year and closest port entry btw different countries that constitutes &gt; 70% of the RoW region taken from CERDI distance database.
=== RESULTS ===
Grand mean (trade-weighted) km: 3240.034945033555
Grand SD   (trade-weighted) km: 4089.2456171631784
Dyad median (unweighted) km: 1843.54
Dyad median (trade-weighted) km: 1166.3
Min dyad km: 0.0 | Min positive km: 38.3525 | Max dyad km: 19095.3
Among-reporters mean of means km: 3279.870350447926
Among-reporters SD of means km: 3825.6383966658336
Among-reporters median of means km: 1658.1021449785026</t>
        </r>
      </text>
    </comment>
    <comment ref="BU4" authorId="0" shapeId="0" xr:uid="{52399681-DACD-4D3F-B307-70B8850EAA9D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Sea transport based on CERDI seadistance database</t>
        </r>
      </text>
    </comment>
    <comment ref="CF4" authorId="0" shapeId="0" xr:uid="{50AFCDD2-D2D7-4650-9AED-0AAA94117750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closest port entry btw the countries</t>
        </r>
      </text>
    </comment>
    <comment ref="CR4" authorId="0" shapeId="0" xr:uid="{BA8C1ADB-8B6B-42CE-8932-FBA09339C7BA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Based on latest year and closest port entry btw different countries that constitutes &gt; 70% of the RoW region taken from CERDI distance database.
=== RESULTS ===
Grand mean (trade-weighted) km: 3240.034945033555
Grand SD   (trade-weighted) km: 4089.2456171631784
Dyad median (unweighted) km: 1843.54
Dyad median (trade-weighted) km: 1166.3
Min dyad km: 0.0 | Min positive km: 38.3525 | Max dyad km: 19095.3
Among-reporters mean of means km: 3279.870350447926
Among-reporters SD of means km: 3825.6383966658336
Among-reporters median of means km: 1658.1021449785026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Wisdom</author>
  </authors>
  <commentList>
    <comment ref="E4" authorId="0" shapeId="0" xr:uid="{E79DAEA7-2FE5-4190-BC70-FE81F9B138DA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Sea transport based on CERDI seadistance database</t>
        </r>
      </text>
    </comment>
    <comment ref="P4" authorId="0" shapeId="0" xr:uid="{10CBB4FA-82EE-4978-B8FC-7B4BC97A2ABF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closest port entry btw the countries</t>
        </r>
      </text>
    </comment>
    <comment ref="AB4" authorId="0" shapeId="0" xr:uid="{94AD2482-5C8E-494C-A987-7EBA676C4B6C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Based on latest year and closest port entry btw different countries that constitutes &gt; 70% of the RoW region taken from CERDI distance database.
=== RESULTS ===
Grand mean (trade-weighted) km: 3240.034945033555
Grand SD   (trade-weighted) km: 4089.2456171631784
Dyad median (unweighted) km: 1843.54
Dyad median (trade-weighted) km: 1166.3
Min dyad km: 0.0 | Min positive km: 38.3525 | Max dyad km: 19095.3
Among-reporters mean of means km: 3279.870350447926
Among-reporters SD of means km: 3825.6383966658336
Among-reporters median of means km: 1658.1021449785026</t>
        </r>
      </text>
    </comment>
    <comment ref="AM4" authorId="0" shapeId="0" xr:uid="{5C6F57FE-5435-4786-AA55-98C2E4A52437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Sea transport based on CERDI seadistance database</t>
        </r>
      </text>
    </comment>
    <comment ref="AX4" authorId="0" shapeId="0" xr:uid="{BFC17805-D222-4935-B123-A7FB1E7423A9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closest port entry btw the countries</t>
        </r>
      </text>
    </comment>
    <comment ref="BJ4" authorId="0" shapeId="0" xr:uid="{CC3CBC28-C547-4F8D-8484-9DABB4E6F148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Based on latest year and closest port entry btw different countries that constitutes &gt; 70% of the RoW region taken from CERDI distance database.
=== RESULTS ===
Grand mean (trade-weighted) km: 3240.034945033555
Grand SD   (trade-weighted) km: 4089.2456171631784
Dyad median (unweighted) km: 1843.54
Dyad median (trade-weighted) km: 1166.3
Min dyad km: 0.0 | Min positive km: 38.3525 | Max dyad km: 19095.3
Among-reporters mean of means km: 3279.870350447926
Among-reporters SD of means km: 3825.6383966658336
Among-reporters median of means km: 1658.1021449785026</t>
        </r>
      </text>
    </comment>
    <comment ref="BU4" authorId="0" shapeId="0" xr:uid="{F69FCBEA-887D-47FE-927D-5F6A36348DB8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Sea transport based on CERDI seadistance database</t>
        </r>
      </text>
    </comment>
    <comment ref="CF4" authorId="0" shapeId="0" xr:uid="{2EEAD33A-9048-4DC9-860C-4BF0D5D4B581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closest port entry btw the countries</t>
        </r>
      </text>
    </comment>
    <comment ref="CR4" authorId="0" shapeId="0" xr:uid="{3BDE6CEF-FCE2-4380-A2B8-6AA74F9D7035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Based on latest year and closest port entry btw different countries that constitutes &gt; 70% of the RoW region taken from CERDI distance database.
=== RESULTS ===
Grand mean (trade-weighted) km: 3240.034945033555
Grand SD   (trade-weighted) km: 4089.2456171631784
Dyad median (unweighted) km: 1843.54
Dyad median (trade-weighted) km: 1166.3
Min dyad km: 0.0 | Min positive km: 38.3525 | Max dyad km: 19095.3
Among-reporters mean of means km: 3279.870350447926
Among-reporters SD of means km: 3825.6383966658336
Among-reporters median of means km: 1658.1021449785026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Wisdom</author>
  </authors>
  <commentList>
    <comment ref="E4" authorId="0" shapeId="0" xr:uid="{9FB52F4B-50B5-4442-9F49-19C13083A9E9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Sea transport based on CERDI seadistance database</t>
        </r>
      </text>
    </comment>
    <comment ref="P4" authorId="0" shapeId="0" xr:uid="{A2A111AE-783E-498B-B38A-FA71D6F7E3D9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closest port entry btw the countries</t>
        </r>
      </text>
    </comment>
    <comment ref="AB4" authorId="0" shapeId="0" xr:uid="{DF52D5DC-D318-45C2-84FF-E18AE39F37DE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Based on latest year and closest port entry btw different countries that constitutes &gt; 70% of the RoW region taken from CERDI distance database.
=== RESULTS ===
Grand mean (trade-weighted) km: 3240.034945033555
Grand SD   (trade-weighted) km: 4089.2456171631784
Dyad median (unweighted) km: 1843.54
Dyad median (trade-weighted) km: 1166.3
Min dyad km: 0.0 | Min positive km: 38.3525 | Max dyad km: 19095.3
Among-reporters mean of means km: 3279.870350447926
Among-reporters SD of means km: 3825.6383966658336
Among-reporters median of means km: 1658.1021449785026</t>
        </r>
      </text>
    </comment>
    <comment ref="AM4" authorId="0" shapeId="0" xr:uid="{495F9AEB-9A61-4127-8B42-9F8B30783A15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Sea transport based on CERDI seadistance database</t>
        </r>
      </text>
    </comment>
    <comment ref="AX4" authorId="0" shapeId="0" xr:uid="{06024C6C-A8E2-4B24-A564-FE1BEC14431E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closest port entry btw the countries</t>
        </r>
      </text>
    </comment>
    <comment ref="BJ4" authorId="0" shapeId="0" xr:uid="{E164B6CB-C08D-4303-A2CD-1EF992A10AEE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Based on latest year and closest port entry btw different countries that constitutes &gt; 70% of the RoW region taken from CERDI distance database.
=== RESULTS ===
Grand mean (trade-weighted) km: 3240.034945033555
Grand SD   (trade-weighted) km: 4089.2456171631784
Dyad median (unweighted) km: 1843.54
Dyad median (trade-weighted) km: 1166.3
Min dyad km: 0.0 | Min positive km: 38.3525 | Max dyad km: 19095.3
Among-reporters mean of means km: 3279.870350447926
Among-reporters SD of means km: 3825.6383966658336
Among-reporters median of means km: 1658.1021449785026</t>
        </r>
      </text>
    </comment>
    <comment ref="BU4" authorId="0" shapeId="0" xr:uid="{FBB2C47B-6A9E-4180-8771-274F1F97FD22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Sea transport based on CERDI seadistance database</t>
        </r>
      </text>
    </comment>
    <comment ref="CF4" authorId="0" shapeId="0" xr:uid="{442E4C1E-6B9A-4F88-8B05-1F0894F80C55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closest port entry btw the countries</t>
        </r>
      </text>
    </comment>
    <comment ref="CR4" authorId="0" shapeId="0" xr:uid="{3940C0D5-8E75-458F-A8D0-133EE7567F18}">
      <text>
        <r>
          <rPr>
            <b/>
            <sz val="9"/>
            <color indexed="81"/>
            <rFont val="Tahoma"/>
            <family val="2"/>
          </rPr>
          <t>Wisdom:</t>
        </r>
        <r>
          <rPr>
            <sz val="9"/>
            <color indexed="81"/>
            <rFont val="Tahoma"/>
            <family val="2"/>
          </rPr>
          <t xml:space="preserve">
Based on latest year and closest port entry btw different countries that constitutes &gt; 70% of the RoW region taken from CERDI distance database.
=== RESULTS ===
Grand mean (trade-weighted) km: 3240.034945033555
Grand SD   (trade-weighted) km: 4089.2456171631784
Dyad median (unweighted) km: 1843.54
Dyad median (trade-weighted) km: 1166.3
Min dyad km: 0.0 | Min positive km: 38.3525 | Max dyad km: 19095.3
Among-reporters mean of means km: 3279.870350447926
Among-reporters SD of means km: 3825.6383966658336
Among-reporters median of means km: 1658.1021449785026</t>
        </r>
      </text>
    </comment>
  </commentList>
</comments>
</file>

<file path=xl/sharedStrings.xml><?xml version="1.0" encoding="utf-8"?>
<sst xmlns="http://schemas.openxmlformats.org/spreadsheetml/2006/main" count="3030" uniqueCount="63">
  <si>
    <t>Location</t>
  </si>
  <si>
    <t>RoW</t>
  </si>
  <si>
    <t>Year</t>
  </si>
  <si>
    <t>World</t>
  </si>
  <si>
    <t>USA</t>
  </si>
  <si>
    <t>Belgium</t>
  </si>
  <si>
    <t>Trade Value (USD)</t>
  </si>
  <si>
    <t xml:space="preserve">5,929,410,000	</t>
  </si>
  <si>
    <t>Transportation Dist (km)</t>
  </si>
  <si>
    <t>Unit</t>
  </si>
  <si>
    <t>kg CO2 eq.</t>
  </si>
  <si>
    <t>kg P eq.</t>
  </si>
  <si>
    <t>kg N eq.</t>
  </si>
  <si>
    <t>m3 World eq.</t>
  </si>
  <si>
    <t>CAN</t>
  </si>
  <si>
    <t>CHN</t>
  </si>
  <si>
    <t>Indonesia</t>
  </si>
  <si>
    <t>Australia</t>
  </si>
  <si>
    <t>Malaysia</t>
  </si>
  <si>
    <t>Egypt, Arab Rep.</t>
  </si>
  <si>
    <t>Jordan</t>
  </si>
  <si>
    <t>Vietnam</t>
  </si>
  <si>
    <t xml:space="preserve"> World</t>
  </si>
  <si>
    <t>Cambodia</t>
  </si>
  <si>
    <t>Global</t>
  </si>
  <si>
    <t>Transport footprint</t>
  </si>
  <si>
    <t xml:space="preserve">Material footprint </t>
  </si>
  <si>
    <t>Total</t>
  </si>
  <si>
    <t>Trade Value (1000USD)</t>
  </si>
  <si>
    <t>Quantity (kg)</t>
  </si>
  <si>
    <t>Transport</t>
  </si>
  <si>
    <t>Manufactured</t>
  </si>
  <si>
    <t>Imported</t>
  </si>
  <si>
    <t>Probable case (based on median)</t>
  </si>
  <si>
    <t>Worst case (based on 95th Percentile)</t>
  </si>
  <si>
    <t>Best case (based on 5th percentile)</t>
  </si>
  <si>
    <t>Emissions</t>
  </si>
  <si>
    <t>Material (imported sand)</t>
  </si>
  <si>
    <t>Material (manufactured sand)</t>
  </si>
  <si>
    <t>EF 3.1 impact</t>
  </si>
  <si>
    <r>
      <t>Total footprint GtCO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e</t>
    </r>
  </si>
  <si>
    <t>Median</t>
  </si>
  <si>
    <t>Min</t>
  </si>
  <si>
    <t>Max</t>
  </si>
  <si>
    <r>
      <t>Material footprint kgCO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e </t>
    </r>
  </si>
  <si>
    <r>
      <t>Transport footprint kgCO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e</t>
    </r>
  </si>
  <si>
    <r>
      <t>Δ Footprint GtCO</t>
    </r>
    <r>
      <rPr>
        <b/>
        <vertAlign val="subscript"/>
        <sz val="11"/>
        <color theme="1"/>
        <rFont val="Aptos Narrow"/>
        <family val="2"/>
      </rPr>
      <t>2</t>
    </r>
    <r>
      <rPr>
        <b/>
        <sz val="11"/>
        <color theme="1"/>
        <rFont val="Aptos Narrow"/>
        <family val="2"/>
      </rPr>
      <t>e</t>
    </r>
  </si>
  <si>
    <t>Med</t>
  </si>
  <si>
    <r>
      <t>GtCO</t>
    </r>
    <r>
      <rPr>
        <vertAlign val="subscript"/>
        <sz val="11"/>
        <color rgb="FF333333"/>
        <rFont val="Aptos Narrow"/>
        <family val="2"/>
        <scheme val="minor"/>
      </rPr>
      <t>2</t>
    </r>
    <r>
      <rPr>
        <sz val="11"/>
        <color rgb="FF333333"/>
        <rFont val="Aptos Narrow"/>
        <family val="2"/>
        <scheme val="minor"/>
      </rPr>
      <t>e/yr</t>
    </r>
  </si>
  <si>
    <t>POSITIVE EFFECT</t>
  </si>
  <si>
    <t>NEGATIVE EFFECT</t>
  </si>
  <si>
    <t>Transport footprint kg Ne</t>
  </si>
  <si>
    <t xml:space="preserve">Material footprint kg Ne </t>
  </si>
  <si>
    <t>Total footprint Tg Ne</t>
  </si>
  <si>
    <t>Δ Footprint Tg Ne</t>
  </si>
  <si>
    <t xml:space="preserve">Material footprint kg Pe </t>
  </si>
  <si>
    <t>Transport footprint kg Pe</t>
  </si>
  <si>
    <t>Total footprint Tg Pe</t>
  </si>
  <si>
    <t>Δ Footprint Tg Pe</t>
  </si>
  <si>
    <r>
      <t>Material footprint 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 xml:space="preserve"> </t>
    </r>
  </si>
  <si>
    <r>
      <t>Transport footprint m</t>
    </r>
    <r>
      <rPr>
        <b/>
        <vertAlign val="superscript"/>
        <sz val="11"/>
        <color theme="1"/>
        <rFont val="Aptos Narrow"/>
        <family val="2"/>
        <scheme val="minor"/>
      </rPr>
      <t>3</t>
    </r>
  </si>
  <si>
    <r>
      <t>Total footprint km</t>
    </r>
    <r>
      <rPr>
        <b/>
        <vertAlign val="superscript"/>
        <sz val="11"/>
        <color theme="1"/>
        <rFont val="Aptos Narrow"/>
        <family val="2"/>
        <scheme val="minor"/>
      </rPr>
      <t>3</t>
    </r>
  </si>
  <si>
    <r>
      <t>Δ Footprint km</t>
    </r>
    <r>
      <rPr>
        <b/>
        <vertAlign val="superscript"/>
        <sz val="11"/>
        <color theme="1"/>
        <rFont val="Aptos Narrow"/>
        <family val="2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</si>
</sst>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333333"/>
      <name val="Aptos Narrow"/>
      <family val="2"/>
      <scheme val="minor"/>
    </font>
    <font>
      <sz val="7"/>
      <color theme="1"/>
      <name val="Arial"/>
      <family val="2"/>
    </font>
    <font>
      <sz val="12"/>
      <color rgb="FF000000"/>
      <name val="Aptos"/>
      <family val="2"/>
    </font>
    <font>
      <sz val="20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bscript"/>
      <sz val="11"/>
      <color rgb="FF333333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13" fillId="0" borderId="0"/>
  </cellStyleXfs>
  <cellXfs count="107">
    <xf numFmtId="0" fontId="0" fillId="0" borderId="0" xfId="0"/>
    <xf numFmtId="0" fontId="1" fillId="0" borderId="0" xfId="0" applyFont="1"/>
    <xf numFmtId="3" fontId="0" fillId="0" borderId="0" xfId="0" applyNumberFormat="1"/>
    <xf numFmtId="3" fontId="4" fillId="0" borderId="0" xfId="0" applyNumberFormat="1" applyFont="1"/>
    <xf numFmtId="0" fontId="5" fillId="3" borderId="2" xfId="0" applyFont="1" applyFill="1" applyBorder="1" applyAlignment="1">
      <alignment horizontal="center" vertical="center" wrapText="1"/>
    </xf>
    <xf numFmtId="0" fontId="0" fillId="0" borderId="0" xfId="0" quotePrefix="1"/>
    <xf numFmtId="4" fontId="0" fillId="3" borderId="1" xfId="0" applyNumberFormat="1" applyFill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0" fillId="0" borderId="0" xfId="0" applyAlignment="1">
      <alignment horizontal="center"/>
    </xf>
    <xf numFmtId="0" fontId="0" fillId="0" borderId="0" xfId="0" applyNumberFormat="1"/>
    <xf numFmtId="11" fontId="4" fillId="0" borderId="0" xfId="0" applyNumberFormat="1" applyFont="1"/>
    <xf numFmtId="11" fontId="0" fillId="0" borderId="1" xfId="0" applyNumberFormat="1" applyBorder="1" applyAlignment="1">
      <alignment horizontal="right" vertical="center" wrapText="1"/>
    </xf>
    <xf numFmtId="11" fontId="0" fillId="3" borderId="1" xfId="0" applyNumberFormat="1" applyFill="1" applyBorder="1" applyAlignment="1">
      <alignment horizontal="right" vertical="center" wrapText="1"/>
    </xf>
    <xf numFmtId="4" fontId="0" fillId="0" borderId="0" xfId="0" applyNumberFormat="1"/>
    <xf numFmtId="0" fontId="6" fillId="0" borderId="0" xfId="0" applyFont="1"/>
    <xf numFmtId="0" fontId="0" fillId="0" borderId="0" xfId="0" applyAlignment="1"/>
    <xf numFmtId="0" fontId="8" fillId="0" borderId="0" xfId="0" applyFont="1"/>
    <xf numFmtId="0" fontId="11" fillId="0" borderId="0" xfId="0" applyFon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wrapText="1"/>
    </xf>
    <xf numFmtId="0" fontId="13" fillId="0" borderId="0" xfId="1"/>
    <xf numFmtId="0" fontId="13" fillId="0" borderId="0" xfId="1"/>
    <xf numFmtId="0" fontId="7" fillId="0" borderId="0" xfId="0" applyFont="1" applyAlignment="1"/>
    <xf numFmtId="0" fontId="11" fillId="2" borderId="0" xfId="0" applyFont="1" applyFill="1" applyAlignment="1">
      <alignment horizontal="center"/>
    </xf>
    <xf numFmtId="0" fontId="8" fillId="2" borderId="0" xfId="0" applyFont="1" applyFill="1"/>
    <xf numFmtId="0" fontId="1" fillId="2" borderId="0" xfId="0" applyFont="1" applyFill="1"/>
    <xf numFmtId="0" fontId="14" fillId="0" borderId="0" xfId="0" applyFont="1" applyAlignment="1">
      <alignment vertical="center" textRotation="90"/>
    </xf>
    <xf numFmtId="0" fontId="7" fillId="2" borderId="0" xfId="0" applyFont="1" applyFill="1" applyAlignment="1"/>
    <xf numFmtId="11" fontId="6" fillId="0" borderId="0" xfId="0" applyNumberFormat="1" applyFont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11" fontId="0" fillId="0" borderId="0" xfId="0" applyNumberFormat="1"/>
    <xf numFmtId="11" fontId="0" fillId="0" borderId="0" xfId="0" applyNumberFormat="1"/>
    <xf numFmtId="11" fontId="0" fillId="0" borderId="0" xfId="0" applyNumberFormat="1"/>
    <xf numFmtId="11" fontId="0" fillId="0" borderId="0" xfId="0" applyNumberFormat="1"/>
    <xf numFmtId="11" fontId="0" fillId="0" borderId="0" xfId="0" applyNumberFormat="1"/>
    <xf numFmtId="11" fontId="0" fillId="0" borderId="0" xfId="0" applyNumberFormat="1"/>
    <xf numFmtId="11" fontId="0" fillId="0" borderId="0" xfId="0" applyNumberFormat="1"/>
    <xf numFmtId="11" fontId="0" fillId="0" borderId="0" xfId="0" applyNumberFormat="1"/>
    <xf numFmtId="0" fontId="0" fillId="0" borderId="0" xfId="0"/>
    <xf numFmtId="11" fontId="0" fillId="0" borderId="0" xfId="0" applyNumberFormat="1"/>
    <xf numFmtId="0" fontId="13" fillId="0" borderId="0" xfId="1"/>
    <xf numFmtId="11" fontId="0" fillId="0" borderId="0" xfId="0" applyNumberFormat="1"/>
    <xf numFmtId="11" fontId="0" fillId="0" borderId="0" xfId="0" applyNumberFormat="1"/>
    <xf numFmtId="11" fontId="0" fillId="0" borderId="0" xfId="0" applyNumberFormat="1"/>
    <xf numFmtId="11" fontId="0" fillId="0" borderId="0" xfId="0" applyNumberFormat="1"/>
    <xf numFmtId="11" fontId="0" fillId="0" borderId="0" xfId="0" applyNumberFormat="1"/>
    <xf numFmtId="11" fontId="0" fillId="0" borderId="0" xfId="0" applyNumberFormat="1"/>
    <xf numFmtId="11" fontId="0" fillId="0" borderId="0" xfId="0" applyNumberFormat="1"/>
    <xf numFmtId="11" fontId="0" fillId="0" borderId="0" xfId="0" applyNumberFormat="1"/>
    <xf numFmtId="0" fontId="0" fillId="0" borderId="0" xfId="0"/>
    <xf numFmtId="11" fontId="0" fillId="0" borderId="0" xfId="0" applyNumberFormat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" fillId="0" borderId="0" xfId="0" applyFont="1" applyBorder="1"/>
    <xf numFmtId="0" fontId="8" fillId="0" borderId="0" xfId="0" applyFont="1" applyBorder="1"/>
    <xf numFmtId="11" fontId="0" fillId="0" borderId="0" xfId="0" applyNumberFormat="1" applyBorder="1"/>
    <xf numFmtId="0" fontId="14" fillId="0" borderId="0" xfId="0" applyFont="1" applyBorder="1" applyAlignment="1">
      <alignment vertical="center" textRotation="90"/>
    </xf>
    <xf numFmtId="11" fontId="0" fillId="0" borderId="0" xfId="0" applyNumberFormat="1"/>
    <xf numFmtId="11" fontId="0" fillId="0" borderId="0" xfId="0" applyNumberFormat="1"/>
    <xf numFmtId="11" fontId="0" fillId="0" borderId="0" xfId="0" applyNumberFormat="1"/>
    <xf numFmtId="11" fontId="0" fillId="0" borderId="0" xfId="0" applyNumberFormat="1"/>
    <xf numFmtId="11" fontId="0" fillId="0" borderId="0" xfId="0" applyNumberFormat="1"/>
    <xf numFmtId="11" fontId="0" fillId="0" borderId="0" xfId="0" applyNumberFormat="1"/>
    <xf numFmtId="11" fontId="0" fillId="0" borderId="0" xfId="0" applyNumberFormat="1"/>
    <xf numFmtId="11" fontId="0" fillId="0" borderId="0" xfId="0" applyNumberFormat="1"/>
    <xf numFmtId="0" fontId="0" fillId="0" borderId="0" xfId="0"/>
    <xf numFmtId="11" fontId="0" fillId="0" borderId="0" xfId="0" applyNumberFormat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13" fillId="0" borderId="0" xfId="1"/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 vertical="center" textRotation="90"/>
    </xf>
    <xf numFmtId="0" fontId="1" fillId="0" borderId="0" xfId="0" applyFont="1" applyAlignment="1">
      <alignment horizontal="center" vertical="center" textRotation="90"/>
    </xf>
    <xf numFmtId="164" fontId="0" fillId="0" borderId="0" xfId="0" applyNumberFormat="1" applyAlignment="1">
      <alignment horizontal="right"/>
    </xf>
  </cellXfs>
  <cellStyles count="2">
    <cellStyle name="Normal" xfId="0" builtinId="0"/>
    <cellStyle name="Normal 2" xfId="1" xr:uid="{3EE60054-E908-4DFC-A1DD-EC348F7E86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23797-24B3-4BEE-8639-F1E75377E7D9}">
  <dimension ref="A1:CW57"/>
  <sheetViews>
    <sheetView topLeftCell="CA19" zoomScale="65" workbookViewId="0">
      <selection activeCell="CU52" sqref="CU52"/>
    </sheetView>
  </sheetViews>
  <sheetFormatPr defaultRowHeight="14.5" x14ac:dyDescent="0.35"/>
  <cols>
    <col min="1" max="1" width="24.54296875" style="66" customWidth="1"/>
    <col min="2" max="2" width="12.54296875" style="66" customWidth="1"/>
    <col min="3" max="3" width="20.08984375" style="66" bestFit="1" customWidth="1"/>
    <col min="4" max="4" width="13.6328125" style="66" bestFit="1" customWidth="1"/>
    <col min="5" max="5" width="21.453125" style="66" bestFit="1" customWidth="1"/>
    <col min="6" max="6" width="22" style="66" customWidth="1"/>
    <col min="7" max="7" width="23" style="66" customWidth="1"/>
    <col min="8" max="9" width="19.54296875" style="66" customWidth="1"/>
    <col min="10" max="10" width="16.26953125" style="66" customWidth="1"/>
    <col min="11" max="11" width="8.81640625" style="66" customWidth="1"/>
    <col min="12" max="12" width="8.7265625" style="66" customWidth="1"/>
    <col min="13" max="13" width="10.6328125" style="66" customWidth="1"/>
    <col min="14" max="15" width="16.1796875" style="66" customWidth="1"/>
    <col min="16" max="16" width="20.81640625" style="66" customWidth="1"/>
    <col min="17" max="17" width="15.6328125" style="66" customWidth="1"/>
    <col min="18" max="18" width="16.90625" style="66" customWidth="1"/>
    <col min="19" max="19" width="18.7265625" style="66" customWidth="1"/>
    <col min="20" max="20" width="18.90625" style="66" customWidth="1"/>
    <col min="21" max="21" width="16.453125" style="66" customWidth="1"/>
    <col min="22" max="22" width="5.90625" style="66" customWidth="1"/>
    <col min="23" max="23" width="8.08984375" style="66" customWidth="1"/>
    <col min="24" max="24" width="8.7265625" style="66"/>
    <col min="25" max="25" width="9.90625" style="66" customWidth="1"/>
    <col min="26" max="26" width="16" style="66" customWidth="1"/>
    <col min="27" max="27" width="14.7265625" style="66" customWidth="1"/>
    <col min="28" max="28" width="21.26953125" style="66" customWidth="1"/>
    <col min="29" max="29" width="22.36328125" style="66" customWidth="1"/>
    <col min="30" max="30" width="22.6328125" style="66" customWidth="1"/>
    <col min="31" max="32" width="19.453125" style="66" customWidth="1"/>
    <col min="33" max="33" width="16.54296875" style="66" customWidth="1"/>
    <col min="34" max="34" width="16.54296875" style="9" customWidth="1"/>
    <col min="35" max="35" width="8.7265625" style="66"/>
    <col min="36" max="37" width="9.90625" style="66" customWidth="1"/>
    <col min="38" max="38" width="11" style="66" customWidth="1"/>
    <col min="39" max="39" width="8.7265625" style="66"/>
    <col min="40" max="40" width="11.1796875" style="66" customWidth="1"/>
    <col min="41" max="41" width="11.90625" style="66" customWidth="1"/>
    <col min="42" max="42" width="11.7265625" style="66" customWidth="1"/>
    <col min="43" max="43" width="10.453125" style="66" customWidth="1"/>
    <col min="44" max="44" width="10.08984375" style="66" customWidth="1"/>
    <col min="45" max="46" width="8.7265625" style="66"/>
    <col min="47" max="47" width="9.453125" style="66" customWidth="1"/>
    <col min="48" max="48" width="8.7265625" style="66"/>
    <col min="49" max="49" width="11.1796875" style="66" customWidth="1"/>
    <col min="50" max="50" width="8.90625" style="66" customWidth="1"/>
    <col min="51" max="52" width="11.36328125" style="66" customWidth="1"/>
    <col min="53" max="53" width="11.54296875" style="66" customWidth="1"/>
    <col min="54" max="54" width="11.36328125" style="66" customWidth="1"/>
    <col min="55" max="55" width="11" style="66" customWidth="1"/>
    <col min="56" max="57" width="8.7265625" style="66"/>
    <col min="58" max="58" width="8.81640625" style="66" bestFit="1" customWidth="1"/>
    <col min="59" max="59" width="9.1796875" style="66" bestFit="1" customWidth="1"/>
    <col min="60" max="60" width="12.90625" style="66" customWidth="1"/>
    <col min="61" max="61" width="11.36328125" style="66" customWidth="1"/>
    <col min="62" max="62" width="8.81640625" style="66" bestFit="1" customWidth="1"/>
    <col min="63" max="63" width="11.1796875" style="66" customWidth="1"/>
    <col min="64" max="64" width="11" style="66" customWidth="1"/>
    <col min="65" max="65" width="11.36328125" style="66" customWidth="1"/>
    <col min="66" max="66" width="10.6328125" style="66" customWidth="1"/>
    <col min="67" max="67" width="10.453125" style="66" customWidth="1"/>
    <col min="68" max="68" width="8.7265625" style="9"/>
    <col min="69" max="69" width="8.81640625" style="66" bestFit="1" customWidth="1"/>
    <col min="70" max="70" width="9.1796875" style="66" bestFit="1" customWidth="1"/>
    <col min="71" max="71" width="11" style="66" bestFit="1" customWidth="1"/>
    <col min="72" max="72" width="11" style="66" customWidth="1"/>
    <col min="73" max="73" width="8.81640625" style="66" bestFit="1" customWidth="1"/>
    <col min="74" max="74" width="10.26953125" style="66" customWidth="1"/>
    <col min="75" max="75" width="10.81640625" style="66" customWidth="1"/>
    <col min="76" max="76" width="11.36328125" style="66" customWidth="1"/>
    <col min="77" max="77" width="10.6328125" style="66" customWidth="1"/>
    <col min="78" max="78" width="10.81640625" style="66" customWidth="1"/>
    <col min="79" max="80" width="8.7265625" style="66"/>
    <col min="81" max="81" width="10.08984375" style="66" customWidth="1"/>
    <col min="82" max="82" width="8.7265625" style="66"/>
    <col min="83" max="83" width="10.08984375" style="66" customWidth="1"/>
    <col min="84" max="84" width="8.7265625" style="66"/>
    <col min="85" max="85" width="10.6328125" style="66" customWidth="1"/>
    <col min="86" max="87" width="11" style="66" customWidth="1"/>
    <col min="88" max="88" width="11.36328125" style="66" customWidth="1"/>
    <col min="89" max="92" width="8.7265625" style="66"/>
    <col min="93" max="93" width="9.6328125" style="66" customWidth="1"/>
    <col min="94" max="96" width="8.7265625" style="66"/>
    <col min="97" max="97" width="11" style="66" customWidth="1"/>
    <col min="98" max="98" width="10.81640625" style="66" customWidth="1"/>
    <col min="99" max="100" width="8.7265625" style="66"/>
    <col min="101" max="101" width="10" style="66" customWidth="1"/>
    <col min="102" max="16384" width="8.7265625" style="66"/>
  </cols>
  <sheetData>
    <row r="1" spans="1:101" ht="26" x14ac:dyDescent="0.6">
      <c r="A1" s="102" t="s">
        <v>33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I1" s="102" t="s">
        <v>35</v>
      </c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L1" s="25"/>
      <c r="BM1" s="25"/>
      <c r="BN1" s="25"/>
      <c r="BO1" s="25"/>
      <c r="BP1" s="30"/>
      <c r="BQ1" s="25"/>
      <c r="BR1" s="25"/>
      <c r="BS1" s="25"/>
      <c r="BT1" s="25"/>
      <c r="BU1" s="25"/>
      <c r="BV1" s="25" t="s">
        <v>34</v>
      </c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</row>
    <row r="2" spans="1:101" ht="18.5" x14ac:dyDescent="0.45">
      <c r="A2" s="103" t="s">
        <v>14</v>
      </c>
      <c r="B2" s="103"/>
      <c r="C2" s="103"/>
      <c r="D2" s="103"/>
      <c r="E2" s="103"/>
      <c r="F2" s="103"/>
      <c r="G2" s="103"/>
      <c r="H2" s="103"/>
      <c r="I2" s="103"/>
      <c r="J2" s="103"/>
      <c r="K2" s="11"/>
      <c r="L2" s="103" t="s">
        <v>15</v>
      </c>
      <c r="M2" s="103"/>
      <c r="N2" s="103"/>
      <c r="O2" s="103"/>
      <c r="P2" s="103"/>
      <c r="Q2" s="103"/>
      <c r="R2" s="103"/>
      <c r="S2" s="103"/>
      <c r="T2" s="103"/>
      <c r="U2" s="103"/>
      <c r="V2" s="20"/>
      <c r="W2" s="20"/>
      <c r="X2" s="103" t="s">
        <v>1</v>
      </c>
      <c r="Y2" s="103"/>
      <c r="Z2" s="103"/>
      <c r="AA2" s="103"/>
      <c r="AB2" s="103"/>
      <c r="AC2" s="103"/>
      <c r="AD2" s="103"/>
      <c r="AE2" s="103"/>
      <c r="AF2" s="103"/>
      <c r="AG2" s="103"/>
      <c r="AH2" s="26"/>
      <c r="AI2" s="103" t="s">
        <v>14</v>
      </c>
      <c r="AJ2" s="103"/>
      <c r="AK2" s="103"/>
      <c r="AL2" s="103"/>
      <c r="AM2" s="103"/>
      <c r="AN2" s="103"/>
      <c r="AO2" s="103"/>
      <c r="AP2" s="103"/>
      <c r="AQ2" s="103"/>
      <c r="AR2" s="103"/>
      <c r="AS2" s="11"/>
      <c r="AT2" s="103" t="s">
        <v>15</v>
      </c>
      <c r="AU2" s="103"/>
      <c r="AV2" s="103"/>
      <c r="AW2" s="103"/>
      <c r="AX2" s="103"/>
      <c r="AY2" s="103"/>
      <c r="AZ2" s="103"/>
      <c r="BA2" s="103"/>
      <c r="BB2" s="103"/>
      <c r="BC2" s="103"/>
      <c r="BD2" s="20"/>
      <c r="BE2" s="20"/>
      <c r="BF2" s="103" t="s">
        <v>1</v>
      </c>
      <c r="BG2" s="103"/>
      <c r="BH2" s="103"/>
      <c r="BI2" s="103"/>
      <c r="BJ2" s="103"/>
      <c r="BK2" s="103"/>
      <c r="BL2" s="103"/>
      <c r="BM2" s="103"/>
      <c r="BN2" s="103"/>
      <c r="BO2" s="103"/>
      <c r="BP2" s="26"/>
      <c r="BQ2" s="103" t="s">
        <v>14</v>
      </c>
      <c r="BR2" s="103"/>
      <c r="BS2" s="103"/>
      <c r="BT2" s="103"/>
      <c r="BU2" s="103"/>
      <c r="BV2" s="103"/>
      <c r="BW2" s="103"/>
      <c r="BX2" s="103"/>
      <c r="BY2" s="103"/>
      <c r="BZ2" s="103"/>
      <c r="CA2" s="11"/>
      <c r="CB2" s="103" t="s">
        <v>15</v>
      </c>
      <c r="CC2" s="103"/>
      <c r="CD2" s="103"/>
      <c r="CE2" s="103"/>
      <c r="CF2" s="103"/>
      <c r="CG2" s="103"/>
      <c r="CH2" s="103"/>
      <c r="CI2" s="103"/>
      <c r="CJ2" s="103"/>
      <c r="CK2" s="103"/>
      <c r="CL2" s="20"/>
      <c r="CM2" s="20"/>
      <c r="CN2" s="103" t="s">
        <v>1</v>
      </c>
      <c r="CO2" s="103"/>
      <c r="CP2" s="103"/>
      <c r="CQ2" s="103"/>
      <c r="CR2" s="103"/>
      <c r="CS2" s="103"/>
      <c r="CT2" s="103"/>
      <c r="CU2" s="103"/>
      <c r="CV2" s="103"/>
      <c r="CW2" s="103"/>
    </row>
    <row r="3" spans="1:101" x14ac:dyDescent="0.35">
      <c r="A3" s="18"/>
      <c r="B3" s="18"/>
      <c r="C3" s="18"/>
      <c r="D3" s="18"/>
      <c r="E3" s="18"/>
      <c r="F3" s="66" t="s">
        <v>32</v>
      </c>
      <c r="G3" s="66" t="s">
        <v>32</v>
      </c>
      <c r="H3" s="66" t="s">
        <v>32</v>
      </c>
      <c r="I3" s="66" t="s">
        <v>31</v>
      </c>
      <c r="L3" s="18"/>
      <c r="M3" s="18"/>
      <c r="N3" s="18"/>
      <c r="O3" s="18"/>
      <c r="P3" s="18"/>
      <c r="Q3" s="66" t="s">
        <v>32</v>
      </c>
      <c r="R3" s="66" t="s">
        <v>32</v>
      </c>
      <c r="S3" s="66" t="s">
        <v>32</v>
      </c>
      <c r="T3" s="66" t="s">
        <v>31</v>
      </c>
      <c r="AC3" s="66" t="s">
        <v>32</v>
      </c>
      <c r="AD3" s="66" t="s">
        <v>32</v>
      </c>
      <c r="AE3" s="66" t="s">
        <v>32</v>
      </c>
      <c r="AF3" s="66" t="s">
        <v>31</v>
      </c>
      <c r="AI3" s="18"/>
      <c r="AJ3" s="18"/>
      <c r="AK3" s="18"/>
      <c r="AL3" s="18"/>
      <c r="AM3" s="18"/>
      <c r="AN3" s="66" t="s">
        <v>32</v>
      </c>
      <c r="AO3" s="66" t="s">
        <v>32</v>
      </c>
      <c r="AP3" s="66" t="s">
        <v>32</v>
      </c>
      <c r="AQ3" s="66" t="s">
        <v>31</v>
      </c>
      <c r="AT3" s="18"/>
      <c r="AU3" s="18"/>
      <c r="AV3" s="18"/>
      <c r="AW3" s="18"/>
      <c r="AX3" s="18"/>
      <c r="AY3" s="66" t="s">
        <v>32</v>
      </c>
      <c r="AZ3" s="66" t="s">
        <v>32</v>
      </c>
      <c r="BA3" s="66" t="s">
        <v>32</v>
      </c>
      <c r="BB3" s="66" t="s">
        <v>31</v>
      </c>
      <c r="BK3" s="66" t="s">
        <v>32</v>
      </c>
      <c r="BL3" s="66" t="s">
        <v>32</v>
      </c>
      <c r="BM3" s="66" t="s">
        <v>32</v>
      </c>
      <c r="BN3" s="66" t="s">
        <v>31</v>
      </c>
      <c r="BQ3" s="18"/>
      <c r="BR3" s="18"/>
      <c r="BS3" s="18"/>
      <c r="BT3" s="18"/>
      <c r="BU3" s="18"/>
      <c r="BV3" s="66" t="s">
        <v>32</v>
      </c>
      <c r="BW3" s="66" t="s">
        <v>32</v>
      </c>
      <c r="BX3" s="66" t="s">
        <v>32</v>
      </c>
      <c r="BY3" s="66" t="s">
        <v>31</v>
      </c>
      <c r="CB3" s="18"/>
      <c r="CC3" s="18"/>
      <c r="CD3" s="18"/>
      <c r="CE3" s="18"/>
      <c r="CF3" s="18"/>
      <c r="CG3" s="66" t="s">
        <v>32</v>
      </c>
      <c r="CH3" s="66" t="s">
        <v>32</v>
      </c>
      <c r="CI3" s="66" t="s">
        <v>32</v>
      </c>
      <c r="CJ3" s="66" t="s">
        <v>31</v>
      </c>
      <c r="CS3" s="66" t="s">
        <v>32</v>
      </c>
      <c r="CT3" s="66" t="s">
        <v>32</v>
      </c>
      <c r="CU3" s="66" t="s">
        <v>32</v>
      </c>
      <c r="CV3" s="66" t="s">
        <v>31</v>
      </c>
    </row>
    <row r="4" spans="1:101" ht="16.5" x14ac:dyDescent="0.35">
      <c r="A4" s="1" t="s">
        <v>2</v>
      </c>
      <c r="B4" s="1" t="s">
        <v>0</v>
      </c>
      <c r="C4" s="1" t="s">
        <v>28</v>
      </c>
      <c r="D4" s="1" t="s">
        <v>29</v>
      </c>
      <c r="E4" s="1" t="s">
        <v>8</v>
      </c>
      <c r="F4" s="1" t="s">
        <v>59</v>
      </c>
      <c r="G4" s="1" t="s">
        <v>60</v>
      </c>
      <c r="H4" s="1" t="s">
        <v>61</v>
      </c>
      <c r="I4" s="1" t="s">
        <v>61</v>
      </c>
      <c r="J4" s="19" t="s">
        <v>62</v>
      </c>
      <c r="K4" s="19"/>
      <c r="L4" s="1" t="s">
        <v>2</v>
      </c>
      <c r="M4" s="1" t="s">
        <v>0</v>
      </c>
      <c r="N4" s="1" t="s">
        <v>28</v>
      </c>
      <c r="O4" s="1" t="s">
        <v>29</v>
      </c>
      <c r="P4" s="1" t="s">
        <v>8</v>
      </c>
      <c r="Q4" s="1" t="s">
        <v>59</v>
      </c>
      <c r="R4" s="1" t="s">
        <v>60</v>
      </c>
      <c r="S4" s="1" t="s">
        <v>61</v>
      </c>
      <c r="T4" s="1" t="s">
        <v>61</v>
      </c>
      <c r="U4" s="19" t="s">
        <v>62</v>
      </c>
      <c r="V4" s="19"/>
      <c r="W4" s="19"/>
      <c r="X4" s="1" t="s">
        <v>2</v>
      </c>
      <c r="Y4" s="1" t="s">
        <v>0</v>
      </c>
      <c r="Z4" s="1" t="s">
        <v>6</v>
      </c>
      <c r="AA4" s="1" t="s">
        <v>29</v>
      </c>
      <c r="AB4" s="1" t="s">
        <v>8</v>
      </c>
      <c r="AC4" s="1" t="s">
        <v>59</v>
      </c>
      <c r="AD4" s="1" t="s">
        <v>60</v>
      </c>
      <c r="AE4" s="1" t="s">
        <v>61</v>
      </c>
      <c r="AF4" s="1" t="s">
        <v>61</v>
      </c>
      <c r="AG4" s="19" t="s">
        <v>62</v>
      </c>
      <c r="AH4" s="27"/>
      <c r="AI4" s="1" t="s">
        <v>2</v>
      </c>
      <c r="AJ4" s="1" t="s">
        <v>0</v>
      </c>
      <c r="AK4" s="1" t="s">
        <v>28</v>
      </c>
      <c r="AL4" s="1" t="s">
        <v>29</v>
      </c>
      <c r="AM4" s="1" t="s">
        <v>8</v>
      </c>
      <c r="AN4" s="1" t="s">
        <v>59</v>
      </c>
      <c r="AO4" s="1" t="s">
        <v>60</v>
      </c>
      <c r="AP4" s="1" t="s">
        <v>61</v>
      </c>
      <c r="AQ4" s="1" t="s">
        <v>61</v>
      </c>
      <c r="AR4" s="19" t="s">
        <v>62</v>
      </c>
      <c r="AS4" s="19"/>
      <c r="AT4" s="1" t="s">
        <v>2</v>
      </c>
      <c r="AU4" s="1" t="s">
        <v>0</v>
      </c>
      <c r="AV4" s="1" t="s">
        <v>28</v>
      </c>
      <c r="AW4" s="1" t="s">
        <v>29</v>
      </c>
      <c r="AX4" s="1" t="s">
        <v>8</v>
      </c>
      <c r="AY4" s="1" t="s">
        <v>59</v>
      </c>
      <c r="AZ4" s="1" t="s">
        <v>60</v>
      </c>
      <c r="BA4" s="1" t="s">
        <v>61</v>
      </c>
      <c r="BB4" s="1" t="s">
        <v>61</v>
      </c>
      <c r="BC4" s="19" t="s">
        <v>62</v>
      </c>
      <c r="BD4" s="19"/>
      <c r="BE4" s="19"/>
      <c r="BF4" s="1" t="s">
        <v>2</v>
      </c>
      <c r="BG4" s="1" t="s">
        <v>0</v>
      </c>
      <c r="BH4" s="1" t="s">
        <v>6</v>
      </c>
      <c r="BI4" s="1" t="s">
        <v>29</v>
      </c>
      <c r="BJ4" s="1" t="s">
        <v>8</v>
      </c>
      <c r="BK4" s="1" t="s">
        <v>59</v>
      </c>
      <c r="BL4" s="1" t="s">
        <v>60</v>
      </c>
      <c r="BM4" s="1" t="s">
        <v>61</v>
      </c>
      <c r="BN4" s="1" t="s">
        <v>61</v>
      </c>
      <c r="BO4" s="19" t="s">
        <v>62</v>
      </c>
      <c r="BP4" s="27"/>
      <c r="BQ4" s="1" t="s">
        <v>2</v>
      </c>
      <c r="BR4" s="1" t="s">
        <v>0</v>
      </c>
      <c r="BS4" s="1" t="s">
        <v>28</v>
      </c>
      <c r="BT4" s="1" t="s">
        <v>29</v>
      </c>
      <c r="BU4" s="1" t="s">
        <v>8</v>
      </c>
      <c r="BV4" s="1" t="s">
        <v>59</v>
      </c>
      <c r="BW4" s="1" t="s">
        <v>60</v>
      </c>
      <c r="BX4" s="1" t="s">
        <v>61</v>
      </c>
      <c r="BY4" s="1" t="s">
        <v>61</v>
      </c>
      <c r="BZ4" s="19" t="s">
        <v>62</v>
      </c>
      <c r="CA4" s="19"/>
      <c r="CB4" s="1" t="s">
        <v>2</v>
      </c>
      <c r="CC4" s="1" t="s">
        <v>0</v>
      </c>
      <c r="CD4" s="1" t="s">
        <v>28</v>
      </c>
      <c r="CE4" s="1" t="s">
        <v>29</v>
      </c>
      <c r="CF4" s="1" t="s">
        <v>8</v>
      </c>
      <c r="CG4" s="1" t="s">
        <v>59</v>
      </c>
      <c r="CH4" s="1" t="s">
        <v>60</v>
      </c>
      <c r="CI4" s="1" t="s">
        <v>61</v>
      </c>
      <c r="CJ4" s="1" t="s">
        <v>61</v>
      </c>
      <c r="CK4" s="19" t="s">
        <v>62</v>
      </c>
      <c r="CL4" s="19"/>
      <c r="CM4" s="19"/>
      <c r="CN4" s="1" t="s">
        <v>2</v>
      </c>
      <c r="CO4" s="1" t="s">
        <v>0</v>
      </c>
      <c r="CP4" s="1" t="s">
        <v>6</v>
      </c>
      <c r="CQ4" s="1" t="s">
        <v>29</v>
      </c>
      <c r="CR4" s="1" t="s">
        <v>8</v>
      </c>
      <c r="CS4" s="1" t="s">
        <v>59</v>
      </c>
      <c r="CT4" s="1" t="s">
        <v>60</v>
      </c>
      <c r="CU4" s="1" t="s">
        <v>61</v>
      </c>
      <c r="CV4" s="1" t="s">
        <v>61</v>
      </c>
      <c r="CW4" s="19" t="s">
        <v>62</v>
      </c>
    </row>
    <row r="5" spans="1:101" x14ac:dyDescent="0.35">
      <c r="A5" s="66">
        <v>2024</v>
      </c>
      <c r="B5" s="66" t="s">
        <v>3</v>
      </c>
      <c r="C5" s="66">
        <f>280252.16</f>
        <v>280252.15999999997</v>
      </c>
      <c r="D5" s="67">
        <v>6435150000</v>
      </c>
      <c r="L5" s="66">
        <v>2024</v>
      </c>
      <c r="M5" s="66" t="s">
        <v>3</v>
      </c>
      <c r="N5" s="66">
        <v>269291.34999999998</v>
      </c>
      <c r="O5" s="66">
        <v>5700361652.1890001</v>
      </c>
      <c r="X5" s="66">
        <v>2024</v>
      </c>
      <c r="Y5" s="66" t="s">
        <v>24</v>
      </c>
      <c r="Z5" s="66">
        <v>1693315.6099999994</v>
      </c>
      <c r="AA5" s="67">
        <v>27701673233.189003</v>
      </c>
      <c r="AI5" s="66">
        <v>2024</v>
      </c>
      <c r="AJ5" s="66" t="s">
        <v>3</v>
      </c>
      <c r="AK5" s="66">
        <f>280252.16</f>
        <v>280252.15999999997</v>
      </c>
      <c r="AL5" s="67">
        <v>6435150000</v>
      </c>
      <c r="AT5" s="66">
        <v>2024</v>
      </c>
      <c r="AU5" s="66" t="s">
        <v>3</v>
      </c>
      <c r="AV5" s="66">
        <v>269291.34999999998</v>
      </c>
      <c r="AW5" s="66">
        <v>5700361652.1890001</v>
      </c>
      <c r="BF5" s="66">
        <v>2024</v>
      </c>
      <c r="BG5" s="66" t="s">
        <v>24</v>
      </c>
      <c r="BH5" s="66">
        <v>1693315.6099999994</v>
      </c>
      <c r="BI5" s="67">
        <v>27701673233.189003</v>
      </c>
      <c r="BQ5" s="66">
        <v>2024</v>
      </c>
      <c r="BR5" s="66" t="s">
        <v>3</v>
      </c>
      <c r="BS5" s="66">
        <f>280252.16</f>
        <v>280252.15999999997</v>
      </c>
      <c r="BT5" s="67">
        <v>6435150000</v>
      </c>
      <c r="CB5" s="66">
        <v>2024</v>
      </c>
      <c r="CC5" s="66" t="s">
        <v>3</v>
      </c>
      <c r="CD5" s="66">
        <v>269291.34999999998</v>
      </c>
      <c r="CE5" s="66">
        <v>5700361652.1890001</v>
      </c>
      <c r="CN5" s="66">
        <v>2024</v>
      </c>
      <c r="CO5" s="66" t="s">
        <v>24</v>
      </c>
      <c r="CP5" s="66">
        <v>1693315.6099999994</v>
      </c>
      <c r="CQ5" s="67">
        <v>27701673233.189003</v>
      </c>
    </row>
    <row r="6" spans="1:101" x14ac:dyDescent="0.35">
      <c r="B6" s="66" t="s">
        <v>4</v>
      </c>
      <c r="C6" s="66">
        <f>276267.53</f>
        <v>276267.53000000003</v>
      </c>
      <c r="D6" s="67">
        <v>6422130000</v>
      </c>
      <c r="E6" s="66">
        <v>1519.17</v>
      </c>
      <c r="F6" s="67">
        <f>D6*$B$36</f>
        <v>312821952.30000001</v>
      </c>
      <c r="G6" s="67">
        <f>D6*E6*$B$35</f>
        <v>3520826.414158423</v>
      </c>
      <c r="H6" s="67">
        <f>SUM(F6:G6)*0.000000001</f>
        <v>0.31634277871415845</v>
      </c>
      <c r="I6" s="67">
        <f>D6*$B$37*0.000000001</f>
        <v>1.0851811316702797</v>
      </c>
      <c r="J6" s="67"/>
      <c r="K6" s="67"/>
      <c r="M6" s="66" t="s">
        <v>16</v>
      </c>
      <c r="N6" s="12">
        <v>96758.74</v>
      </c>
      <c r="O6" s="67">
        <v>2659900000</v>
      </c>
      <c r="P6" s="66">
        <v>4900.57</v>
      </c>
      <c r="Q6" s="67">
        <f>O6*$M$49</f>
        <v>129563729.00000001</v>
      </c>
      <c r="R6" s="67">
        <f>O6*P6*$M$48</f>
        <v>4704040.5003360584</v>
      </c>
      <c r="S6" s="67">
        <f>SUM(Q6:R6)*0.000000001</f>
        <v>0.13426776950033609</v>
      </c>
      <c r="T6" s="67">
        <f>O6*$M$50*0.000000001</f>
        <v>0.20307491287547802</v>
      </c>
      <c r="W6" s="66" t="s">
        <v>42</v>
      </c>
      <c r="Y6" s="66" t="s">
        <v>1</v>
      </c>
      <c r="Z6" s="66">
        <f>Z5-(N5+C5)</f>
        <v>1143772.0999999994</v>
      </c>
      <c r="AA6" s="67">
        <f>AA5-(O5+D5)</f>
        <v>15566161581.000004</v>
      </c>
      <c r="AB6" s="2">
        <v>38.352499999999999</v>
      </c>
      <c r="AC6" s="67">
        <f>AA6*$Y$38</f>
        <v>758227730.61051023</v>
      </c>
      <c r="AD6" s="67">
        <f>AA6*AB6*$Y$37</f>
        <v>215443.97758434003</v>
      </c>
      <c r="AE6" s="67">
        <f>SUM(AC6:AD6)*0.000000001</f>
        <v>0.75844317458809463</v>
      </c>
      <c r="AF6" s="67">
        <f>AA6*$Y$39*0.000000001</f>
        <v>1.2985179821627411</v>
      </c>
      <c r="AG6" s="67">
        <f>AF6-AE6</f>
        <v>0.54007480757464643</v>
      </c>
      <c r="AH6" s="10"/>
      <c r="AJ6" s="66" t="s">
        <v>4</v>
      </c>
      <c r="AK6" s="66">
        <f>276267.53</f>
        <v>276267.53000000003</v>
      </c>
      <c r="AL6" s="67">
        <v>6422130000</v>
      </c>
      <c r="AM6" s="66">
        <v>1519.17</v>
      </c>
      <c r="AN6" s="67">
        <f>AL6*AJ$36</f>
        <v>312821952.30000001</v>
      </c>
      <c r="AO6" s="67">
        <f>AL6*AM6*AJ$35</f>
        <v>3520826.414158423</v>
      </c>
      <c r="AP6" s="67">
        <f>SUM(AN6:AO6)*0.000000001</f>
        <v>0.31634277871415845</v>
      </c>
      <c r="AQ6" s="67">
        <f>AL6*AJ$37*0.000000001</f>
        <v>0.96739315287323935</v>
      </c>
      <c r="AR6" s="67"/>
      <c r="AS6" s="67"/>
      <c r="AU6" s="66" t="s">
        <v>16</v>
      </c>
      <c r="AV6" s="12">
        <v>96758.74</v>
      </c>
      <c r="AW6" s="67">
        <v>2659900000</v>
      </c>
      <c r="AX6" s="66">
        <v>4900.57</v>
      </c>
      <c r="AY6" s="67">
        <f>AW6*AU$49</f>
        <v>129563729.00000001</v>
      </c>
      <c r="AZ6" s="67">
        <f>AW6*AX6*AU$48</f>
        <v>4704040.5003360584</v>
      </c>
      <c r="BA6" s="67">
        <f>SUM(AY6:AZ6)*0.000000001</f>
        <v>0.13426776950033609</v>
      </c>
      <c r="BB6" s="67">
        <f>AW6*AU$50*0.000000001</f>
        <v>0.15928286114981507</v>
      </c>
      <c r="BE6" s="66" t="s">
        <v>42</v>
      </c>
      <c r="BG6" s="66" t="s">
        <v>1</v>
      </c>
      <c r="BH6" s="66">
        <f>BH5-(AV5+AK5)</f>
        <v>1143772.0999999994</v>
      </c>
      <c r="BI6" s="67">
        <f>BI5-(AW5+AL5)</f>
        <v>15566161581.000004</v>
      </c>
      <c r="BJ6" s="2">
        <v>38.352499999999999</v>
      </c>
      <c r="BK6" s="67">
        <f>BI6*BG$38</f>
        <v>758227730.61051023</v>
      </c>
      <c r="BL6" s="67">
        <f>BI6*BJ6*BG$37</f>
        <v>215443.97758434003</v>
      </c>
      <c r="BM6" s="67">
        <f>SUM(BK6:BL6)*0.000000001</f>
        <v>0.75844317458809463</v>
      </c>
      <c r="BN6" s="67">
        <f>BI6*BG$39*0.000000001</f>
        <v>1.0322385639753981</v>
      </c>
      <c r="BO6" s="67">
        <f>BN6-BM6</f>
        <v>0.27379538938730352</v>
      </c>
      <c r="BP6" s="10"/>
      <c r="BR6" s="66" t="s">
        <v>4</v>
      </c>
      <c r="BS6" s="66">
        <f>276267.53</f>
        <v>276267.53000000003</v>
      </c>
      <c r="BT6" s="67">
        <v>6422130000</v>
      </c>
      <c r="BU6" s="66">
        <v>1519.17</v>
      </c>
      <c r="BV6" s="91">
        <f>BT6*BR$36</f>
        <v>312821952.30000001</v>
      </c>
      <c r="BW6" s="91">
        <f>BT6*BU6*BR$35</f>
        <v>3520826.414158423</v>
      </c>
      <c r="BX6" s="91">
        <f>SUM(BV6:BW6)*0.000000001</f>
        <v>0.31634277871415845</v>
      </c>
      <c r="BY6" s="91">
        <f>BT6*BR$37*0.000000001</f>
        <v>1.2422642728483715</v>
      </c>
      <c r="BZ6" s="67"/>
      <c r="CA6" s="67"/>
      <c r="CC6" s="66" t="s">
        <v>16</v>
      </c>
      <c r="CD6" s="12">
        <v>96758.74</v>
      </c>
      <c r="CE6" s="67">
        <v>2659900000</v>
      </c>
      <c r="CF6" s="66">
        <v>4900.57</v>
      </c>
      <c r="CG6" s="91">
        <f t="shared" ref="CG6:CG10" si="0">CE6*CC$49</f>
        <v>129563729.00000001</v>
      </c>
      <c r="CH6" s="91">
        <f t="shared" ref="CH6:CH10" si="1">CE6*CF6*CC$48</f>
        <v>4704040.5003360584</v>
      </c>
      <c r="CI6" s="91">
        <f t="shared" ref="CI6:CI10" si="2">SUM(CG6:CH6)*0.000000001</f>
        <v>0.13426776950033609</v>
      </c>
      <c r="CJ6" s="91">
        <f t="shared" ref="CJ6:CJ10" si="3">CE6*CC$50*0.000000001</f>
        <v>0.26440502567235313</v>
      </c>
      <c r="CM6" s="66" t="s">
        <v>42</v>
      </c>
      <c r="CO6" s="66" t="s">
        <v>1</v>
      </c>
      <c r="CP6" s="66">
        <f>CP5-(CD5+BS5)</f>
        <v>1143772.0999999994</v>
      </c>
      <c r="CQ6" s="67">
        <f>CQ5-(CE5+BT5)</f>
        <v>15566161581.000004</v>
      </c>
      <c r="CR6" s="2">
        <v>38.352499999999999</v>
      </c>
      <c r="CS6" s="91">
        <f t="shared" ref="CS6:CS8" si="4">CQ6*CO$38</f>
        <v>758227730.61051023</v>
      </c>
      <c r="CT6" s="91">
        <f t="shared" ref="CT6:CT8" si="5">CQ6*CR6*CO$37</f>
        <v>215443.97758434003</v>
      </c>
      <c r="CU6" s="91">
        <f t="shared" ref="CU6:CU8" si="6">SUM(CS6:CT6)*0.000000001</f>
        <v>0.75844317458809463</v>
      </c>
      <c r="CV6" s="91">
        <f t="shared" ref="CV6:CV8" si="7">CQ6*CO$39*0.000000001</f>
        <v>1.6643958763420501</v>
      </c>
      <c r="CW6" s="67">
        <f>CV6-CU6</f>
        <v>0.90595270175395548</v>
      </c>
    </row>
    <row r="7" spans="1:101" x14ac:dyDescent="0.35">
      <c r="B7" s="66" t="s">
        <v>5</v>
      </c>
      <c r="C7" s="66">
        <f>2060.63</f>
        <v>2060.63</v>
      </c>
      <c r="D7" s="67">
        <v>6626980</v>
      </c>
      <c r="E7" s="2">
        <v>5203.3100000000004</v>
      </c>
      <c r="F7" s="67">
        <f>D7*$B$36</f>
        <v>322800.19580000004</v>
      </c>
      <c r="G7" s="67">
        <f>D7*E7*$B$35</f>
        <v>12443.84252210633</v>
      </c>
      <c r="H7" s="67">
        <f>SUM(F7:G7)*0.000000001</f>
        <v>3.352440383221064E-4</v>
      </c>
      <c r="I7" s="67">
        <f>D7*$B$37*0.000000001</f>
        <v>1.1197957151219782E-3</v>
      </c>
      <c r="J7" s="67"/>
      <c r="K7" s="67"/>
      <c r="M7" s="66" t="s">
        <v>17</v>
      </c>
      <c r="N7" s="12">
        <v>69050.75</v>
      </c>
      <c r="O7" s="67">
        <v>1289010000</v>
      </c>
      <c r="P7" s="66">
        <v>10024.9</v>
      </c>
      <c r="Q7" s="67">
        <f t="shared" ref="Q7:Q10" si="8">O7*$M$49</f>
        <v>62787677.100000001</v>
      </c>
      <c r="R7" s="67">
        <f t="shared" ref="R7:R10" si="9">O7*P7*$M$48</f>
        <v>4663322.8282118952</v>
      </c>
      <c r="S7" s="67">
        <f t="shared" ref="S7:S10" si="10">SUM(Q7:R7)*0.000000001</f>
        <v>6.7450999928211908E-2</v>
      </c>
      <c r="T7" s="67">
        <f t="shared" ref="T7:T10" si="11">O7*$M$50*0.000000001</f>
        <v>9.8411817529087536E-2</v>
      </c>
      <c r="W7" s="66" t="s">
        <v>47</v>
      </c>
      <c r="Y7" s="66" t="s">
        <v>1</v>
      </c>
      <c r="Z7" s="66">
        <v>1143772.0999999994</v>
      </c>
      <c r="AA7" s="67">
        <v>15566161581.000004</v>
      </c>
      <c r="AB7" s="2">
        <v>3240</v>
      </c>
      <c r="AC7" s="67">
        <f t="shared" ref="AC7:AC8" si="12">AA7*$Y$38</f>
        <v>758227730.61051023</v>
      </c>
      <c r="AD7" s="67">
        <f t="shared" ref="AD7:AD8" si="13">AA7*AB7*$Y$37</f>
        <v>18200599.37092137</v>
      </c>
      <c r="AE7" s="67">
        <f t="shared" ref="AE7:AE8" si="14">SUM(AC7:AD7)*0.000000001</f>
        <v>0.77642832998143163</v>
      </c>
      <c r="AF7" s="67">
        <f t="shared" ref="AF7:AF8" si="15">AA7*$Y$39*0.000000001</f>
        <v>1.2985179821627411</v>
      </c>
      <c r="AG7" s="67">
        <f t="shared" ref="AG7:AG8" si="16">AF7-AE7</f>
        <v>0.52208965218130943</v>
      </c>
      <c r="AH7" s="10"/>
      <c r="AJ7" s="66" t="s">
        <v>5</v>
      </c>
      <c r="AK7" s="66">
        <f>2060.63</f>
        <v>2060.63</v>
      </c>
      <c r="AL7" s="67">
        <v>6626980</v>
      </c>
      <c r="AM7" s="2">
        <v>5203.3100000000004</v>
      </c>
      <c r="AN7" s="91">
        <f>AL7*AJ$36</f>
        <v>322800.19580000004</v>
      </c>
      <c r="AO7" s="91">
        <f>AL7*AM7*AJ$35</f>
        <v>12443.84252210633</v>
      </c>
      <c r="AP7" s="91">
        <f>SUM(AN7:AO7)*0.000000001</f>
        <v>3.352440383221064E-4</v>
      </c>
      <c r="AQ7" s="91">
        <f>AL7*AJ$37*0.000000001</f>
        <v>9.9825059228447559E-4</v>
      </c>
      <c r="AR7" s="67"/>
      <c r="AS7" s="67"/>
      <c r="AU7" s="66" t="s">
        <v>17</v>
      </c>
      <c r="AV7" s="12">
        <v>69050.75</v>
      </c>
      <c r="AW7" s="67">
        <v>1289010000</v>
      </c>
      <c r="AX7" s="66">
        <v>10024.9</v>
      </c>
      <c r="AY7" s="91">
        <f t="shared" ref="AY7:AY10" si="17">AW7*AU$49</f>
        <v>62787677.100000001</v>
      </c>
      <c r="AZ7" s="91">
        <f t="shared" ref="AZ7:AZ10" si="18">AW7*AX7*AU$48</f>
        <v>4663322.8282118952</v>
      </c>
      <c r="BA7" s="91">
        <f t="shared" ref="BA7:BA10" si="19">SUM(AY7:AZ7)*0.000000001</f>
        <v>6.7450999928211908E-2</v>
      </c>
      <c r="BB7" s="91">
        <f t="shared" ref="BB7:BB10" si="20">AW7*AU$50*0.000000001</f>
        <v>7.7189819485966815E-2</v>
      </c>
      <c r="BE7" s="66" t="s">
        <v>47</v>
      </c>
      <c r="BG7" s="66" t="s">
        <v>1</v>
      </c>
      <c r="BH7" s="66">
        <v>1143772.0999999994</v>
      </c>
      <c r="BI7" s="67">
        <v>15566161581.000004</v>
      </c>
      <c r="BJ7" s="2">
        <v>3240</v>
      </c>
      <c r="BK7" s="91">
        <f t="shared" ref="BK7:BK8" si="21">BI7*BG$38</f>
        <v>758227730.61051023</v>
      </c>
      <c r="BL7" s="91">
        <f t="shared" ref="BL7:BL8" si="22">BI7*BJ7*BG$37</f>
        <v>18200599.37092137</v>
      </c>
      <c r="BM7" s="91">
        <f t="shared" ref="BM7:BM8" si="23">SUM(BK7:BL7)*0.000000001</f>
        <v>0.77642832998143163</v>
      </c>
      <c r="BN7" s="91">
        <f t="shared" ref="BN7:BN8" si="24">BI7*BG$39*0.000000001</f>
        <v>1.0322385639753981</v>
      </c>
      <c r="BO7" s="67">
        <f t="shared" ref="BO7:BO8" si="25">BN7-BM7</f>
        <v>0.25581023399396652</v>
      </c>
      <c r="BP7" s="10"/>
      <c r="BR7" s="66" t="s">
        <v>5</v>
      </c>
      <c r="BS7" s="66">
        <f>2060.63</f>
        <v>2060.63</v>
      </c>
      <c r="BT7" s="67">
        <v>6626980</v>
      </c>
      <c r="BU7" s="2">
        <v>5203.3100000000004</v>
      </c>
      <c r="BV7" s="91">
        <f>BT7*BR$36</f>
        <v>322800.19580000004</v>
      </c>
      <c r="BW7" s="91">
        <f>BT7*BU7*BR$35</f>
        <v>12443.84252210633</v>
      </c>
      <c r="BX7" s="91">
        <f>SUM(BV7:BW7)*0.000000001</f>
        <v>3.352440383221064E-4</v>
      </c>
      <c r="BY7" s="91">
        <f>BT7*BR$37*0.000000001</f>
        <v>1.2818894184453914E-3</v>
      </c>
      <c r="BZ7" s="67"/>
      <c r="CA7" s="67"/>
      <c r="CC7" s="66" t="s">
        <v>17</v>
      </c>
      <c r="CD7" s="12">
        <v>69050.75</v>
      </c>
      <c r="CE7" s="67">
        <v>1289010000</v>
      </c>
      <c r="CF7" s="66">
        <v>10024.9</v>
      </c>
      <c r="CG7" s="91">
        <f t="shared" si="0"/>
        <v>62787677.100000001</v>
      </c>
      <c r="CH7" s="91">
        <f t="shared" si="1"/>
        <v>4663322.8282118952</v>
      </c>
      <c r="CI7" s="91">
        <f t="shared" si="2"/>
        <v>6.7450999928211908E-2</v>
      </c>
      <c r="CJ7" s="91">
        <f t="shared" si="3"/>
        <v>0.12813290805741565</v>
      </c>
      <c r="CM7" s="66" t="s">
        <v>47</v>
      </c>
      <c r="CO7" s="66" t="s">
        <v>1</v>
      </c>
      <c r="CP7" s="66">
        <v>1143772.0999999994</v>
      </c>
      <c r="CQ7" s="67">
        <v>15566161581.000004</v>
      </c>
      <c r="CR7" s="2">
        <v>3240</v>
      </c>
      <c r="CS7" s="91">
        <f t="shared" si="4"/>
        <v>758227730.61051023</v>
      </c>
      <c r="CT7" s="91">
        <f t="shared" si="5"/>
        <v>18200599.37092137</v>
      </c>
      <c r="CU7" s="91">
        <f t="shared" si="6"/>
        <v>0.77642832998143163</v>
      </c>
      <c r="CV7" s="91">
        <f t="shared" si="7"/>
        <v>1.6643958763420501</v>
      </c>
      <c r="CW7" s="67">
        <f t="shared" ref="CW7:CW8" si="26">CV7-CU7</f>
        <v>0.88796754636061848</v>
      </c>
    </row>
    <row r="8" spans="1:101" x14ac:dyDescent="0.35">
      <c r="B8" s="1" t="s">
        <v>27</v>
      </c>
      <c r="D8" s="67"/>
      <c r="F8" s="67">
        <f t="shared" ref="F8:G8" si="27">SUM(F6:F7)</f>
        <v>313144752.49580002</v>
      </c>
      <c r="G8" s="67">
        <f t="shared" si="27"/>
        <v>3533270.2566805291</v>
      </c>
      <c r="H8" s="67">
        <f>SUM(H6:H7)</f>
        <v>0.31667802275248053</v>
      </c>
      <c r="I8" s="67">
        <f>SUM(I6:I7)</f>
        <v>1.0863009273854016</v>
      </c>
      <c r="J8" s="67">
        <f>I8-H8</f>
        <v>0.76962290463292105</v>
      </c>
      <c r="K8" s="67"/>
      <c r="M8" s="66" t="s">
        <v>18</v>
      </c>
      <c r="N8" s="12">
        <v>53664.02</v>
      </c>
      <c r="O8" s="67">
        <v>1443590000</v>
      </c>
      <c r="P8" s="66">
        <v>4511.93</v>
      </c>
      <c r="Q8" s="67">
        <f t="shared" si="8"/>
        <v>70317268.900000006</v>
      </c>
      <c r="R8" s="67">
        <f t="shared" si="9"/>
        <v>2350527.6476500994</v>
      </c>
      <c r="S8" s="67">
        <f t="shared" si="10"/>
        <v>7.2667796547650099E-2</v>
      </c>
      <c r="T8" s="67">
        <f t="shared" si="11"/>
        <v>0.11021350933415215</v>
      </c>
      <c r="W8" s="66" t="s">
        <v>43</v>
      </c>
      <c r="Y8" s="66" t="s">
        <v>1</v>
      </c>
      <c r="Z8" s="66">
        <v>1143772.0999999994</v>
      </c>
      <c r="AA8" s="66">
        <v>15566161581.000004</v>
      </c>
      <c r="AB8" s="66">
        <v>19095.3</v>
      </c>
      <c r="AC8" s="67">
        <f t="shared" si="12"/>
        <v>758227730.61051023</v>
      </c>
      <c r="AD8" s="67">
        <f t="shared" si="13"/>
        <v>107267254.68134406</v>
      </c>
      <c r="AE8" s="67">
        <f t="shared" si="14"/>
        <v>0.86549498529185431</v>
      </c>
      <c r="AF8" s="67">
        <f t="shared" si="15"/>
        <v>1.2985179821627411</v>
      </c>
      <c r="AG8" s="67">
        <f t="shared" si="16"/>
        <v>0.43302299687088674</v>
      </c>
      <c r="AH8" s="10"/>
      <c r="AJ8" s="1" t="s">
        <v>27</v>
      </c>
      <c r="AL8" s="67"/>
      <c r="AN8" s="67">
        <f t="shared" ref="AN8:AO8" si="28">SUM(AN6:AN7)</f>
        <v>313144752.49580002</v>
      </c>
      <c r="AO8" s="67">
        <f t="shared" si="28"/>
        <v>3533270.2566805291</v>
      </c>
      <c r="AP8" s="67">
        <f>SUM(AP6:AP7)</f>
        <v>0.31667802275248053</v>
      </c>
      <c r="AQ8" s="67">
        <f>SUM(AQ6:AQ7)</f>
        <v>0.96839140346552377</v>
      </c>
      <c r="AR8" s="67">
        <f>AQ8-AP8</f>
        <v>0.6517133807130433</v>
      </c>
      <c r="AS8" s="67"/>
      <c r="AU8" s="66" t="s">
        <v>18</v>
      </c>
      <c r="AV8" s="12">
        <v>53664.02</v>
      </c>
      <c r="AW8" s="67">
        <v>1443590000</v>
      </c>
      <c r="AX8" s="66">
        <v>4511.93</v>
      </c>
      <c r="AY8" s="91">
        <f t="shared" si="17"/>
        <v>70317268.900000006</v>
      </c>
      <c r="AZ8" s="91">
        <f t="shared" si="18"/>
        <v>2350527.6476500994</v>
      </c>
      <c r="BA8" s="91">
        <f t="shared" si="19"/>
        <v>7.2667796547650099E-2</v>
      </c>
      <c r="BB8" s="91">
        <f t="shared" si="20"/>
        <v>8.644653766204051E-2</v>
      </c>
      <c r="BE8" s="66" t="s">
        <v>43</v>
      </c>
      <c r="BG8" s="66" t="s">
        <v>1</v>
      </c>
      <c r="BH8" s="66">
        <v>1143772.0999999994</v>
      </c>
      <c r="BI8" s="66">
        <v>15566161581.000004</v>
      </c>
      <c r="BJ8" s="66">
        <v>19095.3</v>
      </c>
      <c r="BK8" s="91">
        <f t="shared" si="21"/>
        <v>758227730.61051023</v>
      </c>
      <c r="BL8" s="91">
        <f t="shared" si="22"/>
        <v>107267254.68134406</v>
      </c>
      <c r="BM8" s="91">
        <f t="shared" si="23"/>
        <v>0.86549498529185431</v>
      </c>
      <c r="BN8" s="91">
        <f t="shared" si="24"/>
        <v>1.0322385639753981</v>
      </c>
      <c r="BO8" s="67">
        <f t="shared" si="25"/>
        <v>0.16674357868354384</v>
      </c>
      <c r="BP8" s="10"/>
      <c r="BR8" s="1" t="s">
        <v>27</v>
      </c>
      <c r="BT8" s="67"/>
      <c r="BV8" s="67">
        <f t="shared" ref="BV8:BW8" si="29">SUM(BV6:BV7)</f>
        <v>313144752.49580002</v>
      </c>
      <c r="BW8" s="67">
        <f t="shared" si="29"/>
        <v>3533270.2566805291</v>
      </c>
      <c r="BX8" s="67">
        <f>SUM(BX6:BX7)</f>
        <v>0.31667802275248053</v>
      </c>
      <c r="BY8" s="67">
        <f>SUM(BY6:BY7)</f>
        <v>1.2435461622668169</v>
      </c>
      <c r="BZ8" s="67">
        <f>BY8-BX8</f>
        <v>0.92686813951433633</v>
      </c>
      <c r="CA8" s="67"/>
      <c r="CC8" s="66" t="s">
        <v>18</v>
      </c>
      <c r="CD8" s="12">
        <v>53664.02</v>
      </c>
      <c r="CE8" s="67">
        <v>1443590000</v>
      </c>
      <c r="CF8" s="66">
        <v>4511.93</v>
      </c>
      <c r="CG8" s="91">
        <f t="shared" si="0"/>
        <v>70317268.900000006</v>
      </c>
      <c r="CH8" s="91">
        <f t="shared" si="1"/>
        <v>2350527.6476500994</v>
      </c>
      <c r="CI8" s="91">
        <f t="shared" si="2"/>
        <v>7.2667796547650099E-2</v>
      </c>
      <c r="CJ8" s="91">
        <f t="shared" si="3"/>
        <v>0.14349879732709961</v>
      </c>
      <c r="CM8" s="66" t="s">
        <v>43</v>
      </c>
      <c r="CO8" s="66" t="s">
        <v>1</v>
      </c>
      <c r="CP8" s="66">
        <v>1143772.0999999994</v>
      </c>
      <c r="CQ8" s="66">
        <v>15566161581.000004</v>
      </c>
      <c r="CR8" s="66">
        <v>19095.3</v>
      </c>
      <c r="CS8" s="91">
        <f t="shared" si="4"/>
        <v>758227730.61051023</v>
      </c>
      <c r="CT8" s="91">
        <f t="shared" si="5"/>
        <v>107267254.68134406</v>
      </c>
      <c r="CU8" s="91">
        <f t="shared" si="6"/>
        <v>0.86549498529185431</v>
      </c>
      <c r="CV8" s="91">
        <f t="shared" si="7"/>
        <v>1.6643958763420501</v>
      </c>
      <c r="CW8" s="67">
        <f t="shared" si="26"/>
        <v>0.79890089105019579</v>
      </c>
    </row>
    <row r="9" spans="1:101" x14ac:dyDescent="0.35">
      <c r="A9" s="66">
        <v>2023</v>
      </c>
      <c r="B9" s="66" t="s">
        <v>3</v>
      </c>
      <c r="C9" s="66">
        <f>273291.5</f>
        <v>273291.5</v>
      </c>
      <c r="D9" s="67" t="s">
        <v>7</v>
      </c>
      <c r="M9" s="66" t="s">
        <v>19</v>
      </c>
      <c r="N9" s="12">
        <v>5064.8999999999996</v>
      </c>
      <c r="O9" s="67">
        <v>157695000</v>
      </c>
      <c r="P9" s="66">
        <v>13389.8</v>
      </c>
      <c r="Q9" s="67">
        <f t="shared" si="8"/>
        <v>7681323.4500000002</v>
      </c>
      <c r="R9" s="67">
        <f t="shared" si="9"/>
        <v>761993.31151477876</v>
      </c>
      <c r="S9" s="67">
        <f t="shared" si="10"/>
        <v>8.4433167615147794E-3</v>
      </c>
      <c r="T9" s="67">
        <f t="shared" si="11"/>
        <v>1.2039512156809845E-2</v>
      </c>
      <c r="X9" s="66">
        <v>2023</v>
      </c>
      <c r="Y9" s="66" t="s">
        <v>24</v>
      </c>
      <c r="Z9" s="66">
        <v>1879083.3799999987</v>
      </c>
      <c r="AA9" s="67">
        <v>36631689794.419991</v>
      </c>
      <c r="AI9" s="66">
        <v>2023</v>
      </c>
      <c r="AJ9" s="66" t="s">
        <v>3</v>
      </c>
      <c r="AK9" s="66">
        <f>273291.5</f>
        <v>273291.5</v>
      </c>
      <c r="AL9" s="67" t="s">
        <v>7</v>
      </c>
      <c r="AU9" s="66" t="s">
        <v>19</v>
      </c>
      <c r="AV9" s="12">
        <v>5064.8999999999996</v>
      </c>
      <c r="AW9" s="67">
        <v>157695000</v>
      </c>
      <c r="AX9" s="66">
        <v>13389.8</v>
      </c>
      <c r="AY9" s="91">
        <f t="shared" si="17"/>
        <v>7681323.4500000002</v>
      </c>
      <c r="AZ9" s="91">
        <f t="shared" si="18"/>
        <v>761993.31151477876</v>
      </c>
      <c r="BA9" s="91">
        <f t="shared" si="19"/>
        <v>8.4433167615147794E-3</v>
      </c>
      <c r="BB9" s="91">
        <f t="shared" si="20"/>
        <v>9.4432538024061385E-3</v>
      </c>
      <c r="BF9" s="66">
        <v>2023</v>
      </c>
      <c r="BG9" s="66" t="s">
        <v>24</v>
      </c>
      <c r="BH9" s="66">
        <v>1879083.3799999987</v>
      </c>
      <c r="BI9" s="67">
        <v>36631689794.419991</v>
      </c>
      <c r="BQ9" s="66">
        <v>2023</v>
      </c>
      <c r="BR9" s="66" t="s">
        <v>3</v>
      </c>
      <c r="BS9" s="66">
        <f>273291.5</f>
        <v>273291.5</v>
      </c>
      <c r="BT9" s="67" t="s">
        <v>7</v>
      </c>
      <c r="CC9" s="66" t="s">
        <v>19</v>
      </c>
      <c r="CD9" s="12">
        <v>5064.8999999999996</v>
      </c>
      <c r="CE9" s="67">
        <v>157695000</v>
      </c>
      <c r="CF9" s="66">
        <v>13389.8</v>
      </c>
      <c r="CG9" s="91">
        <f t="shared" si="0"/>
        <v>7681323.4500000002</v>
      </c>
      <c r="CH9" s="91">
        <f t="shared" si="1"/>
        <v>761993.31151477876</v>
      </c>
      <c r="CI9" s="91">
        <f t="shared" si="2"/>
        <v>8.4433167615147794E-3</v>
      </c>
      <c r="CJ9" s="91">
        <f t="shared" si="3"/>
        <v>1.5675533111546194E-2</v>
      </c>
      <c r="CN9" s="66">
        <v>2023</v>
      </c>
      <c r="CO9" s="66" t="s">
        <v>24</v>
      </c>
      <c r="CP9" s="66">
        <v>1879083.3799999987</v>
      </c>
      <c r="CQ9" s="67">
        <v>36631689794.419991</v>
      </c>
    </row>
    <row r="10" spans="1:101" ht="15" thickBot="1" x14ac:dyDescent="0.4">
      <c r="B10" s="66" t="s">
        <v>4</v>
      </c>
      <c r="C10" s="66">
        <f>268813.66</f>
        <v>268813.65999999997</v>
      </c>
      <c r="D10" s="13">
        <v>5918180000</v>
      </c>
      <c r="E10" s="66">
        <v>1519.17</v>
      </c>
      <c r="F10" s="67">
        <f>D10*$B$36</f>
        <v>288274547.80000001</v>
      </c>
      <c r="G10" s="67">
        <f>D10*E10*$B$35</f>
        <v>3244544.1726878928</v>
      </c>
      <c r="H10" s="67">
        <f>SUM(F10:G10)*0.000000001</f>
        <v>0.29151909197268794</v>
      </c>
      <c r="I10" s="67">
        <f>D10*$B$37*0.000000001</f>
        <v>1.0000260458490278</v>
      </c>
      <c r="J10" s="67"/>
      <c r="K10" s="67"/>
      <c r="M10" s="66" t="s">
        <v>20</v>
      </c>
      <c r="N10" s="12">
        <v>2239.1799999999998</v>
      </c>
      <c r="O10" s="67">
        <v>77530100</v>
      </c>
      <c r="P10" s="66">
        <v>13090.6</v>
      </c>
      <c r="Q10" s="67">
        <f t="shared" si="8"/>
        <v>3776491.1710000001</v>
      </c>
      <c r="R10" s="67">
        <f t="shared" si="9"/>
        <v>366259.62167893111</v>
      </c>
      <c r="S10" s="67">
        <f t="shared" si="10"/>
        <v>4.1427507926789318E-3</v>
      </c>
      <c r="T10" s="67">
        <f t="shared" si="11"/>
        <v>5.9191767745881791E-3</v>
      </c>
      <c r="W10" s="66" t="s">
        <v>42</v>
      </c>
      <c r="Y10" s="66" t="s">
        <v>1</v>
      </c>
      <c r="Z10" s="66">
        <f>Z9-(C9+N12)</f>
        <v>1274124.8299999987</v>
      </c>
      <c r="AA10" s="67">
        <f>AA9-(O12+D13)</f>
        <v>24527849794.419991</v>
      </c>
      <c r="AB10" s="2">
        <v>38.352499999999999</v>
      </c>
      <c r="AC10" s="67">
        <f>AA10*$Y$38</f>
        <v>1194751563.4861977</v>
      </c>
      <c r="AD10" s="67">
        <f>AA10*AB10*$Y$37</f>
        <v>339478.52165116736</v>
      </c>
      <c r="AE10" s="67">
        <f t="shared" ref="AE10:AE12" si="30">SUM(AC10:AD10)*0.000000001</f>
        <v>1.1950910420078491</v>
      </c>
      <c r="AF10" s="67">
        <f t="shared" ref="AF10:AF12" si="31">AA10*$Y$39*0.000000001</f>
        <v>2.0460955551635065</v>
      </c>
      <c r="AG10" s="67">
        <f>AF10-AE10</f>
        <v>0.85100451315565739</v>
      </c>
      <c r="AH10" s="10"/>
      <c r="AJ10" s="66" t="s">
        <v>4</v>
      </c>
      <c r="AK10" s="66">
        <f>268813.66</f>
        <v>268813.65999999997</v>
      </c>
      <c r="AL10" s="13">
        <v>5918180000</v>
      </c>
      <c r="AM10" s="66">
        <v>1519.17</v>
      </c>
      <c r="AN10" s="91">
        <f>AL10*AJ$36</f>
        <v>288274547.80000001</v>
      </c>
      <c r="AO10" s="91">
        <f>AL10*AM10*AJ$35</f>
        <v>3244544.1726878928</v>
      </c>
      <c r="AP10" s="91">
        <f>SUM(AN10:AO10)*0.000000001</f>
        <v>0.29151909197268794</v>
      </c>
      <c r="AQ10" s="91">
        <f>AL10*AJ$37*0.000000001</f>
        <v>0.89148098986961455</v>
      </c>
      <c r="AR10" s="67"/>
      <c r="AS10" s="67"/>
      <c r="AU10" s="66" t="s">
        <v>20</v>
      </c>
      <c r="AV10" s="12">
        <v>2239.1799999999998</v>
      </c>
      <c r="AW10" s="67">
        <v>77530100</v>
      </c>
      <c r="AX10" s="66">
        <v>13090.6</v>
      </c>
      <c r="AY10" s="91">
        <f t="shared" si="17"/>
        <v>3776491.1710000001</v>
      </c>
      <c r="AZ10" s="91">
        <f t="shared" si="18"/>
        <v>366259.62167893111</v>
      </c>
      <c r="BA10" s="91">
        <f t="shared" si="19"/>
        <v>4.1427507926789318E-3</v>
      </c>
      <c r="BB10" s="91">
        <f t="shared" si="20"/>
        <v>4.6427370026058418E-3</v>
      </c>
      <c r="BE10" s="66" t="s">
        <v>42</v>
      </c>
      <c r="BG10" s="66" t="s">
        <v>1</v>
      </c>
      <c r="BH10" s="66">
        <f>BH9-(AK9+AV12)</f>
        <v>1274124.8299999987</v>
      </c>
      <c r="BI10" s="67">
        <f>BI9-(AW12+AL13)</f>
        <v>24527849794.419991</v>
      </c>
      <c r="BJ10" s="2">
        <v>38.352499999999999</v>
      </c>
      <c r="BK10" s="91">
        <f t="shared" ref="BK10:BK12" si="32">BI10*BG$38</f>
        <v>1194751563.4861977</v>
      </c>
      <c r="BL10" s="91">
        <f t="shared" ref="BL10:BL12" si="33">BI10*BJ10*BG$37</f>
        <v>339478.52165116736</v>
      </c>
      <c r="BM10" s="91">
        <f t="shared" ref="BM10:BM12" si="34">SUM(BK10:BL10)*0.000000001</f>
        <v>1.1950910420078491</v>
      </c>
      <c r="BN10" s="91">
        <f t="shared" ref="BN10:BN12" si="35">BI10*BG$39*0.000000001</f>
        <v>1.6265148166070778</v>
      </c>
      <c r="BO10" s="67">
        <f>BN10-BM10</f>
        <v>0.43142377459922865</v>
      </c>
      <c r="BP10" s="10"/>
      <c r="BR10" s="66" t="s">
        <v>4</v>
      </c>
      <c r="BS10" s="66">
        <f>268813.66</f>
        <v>268813.65999999997</v>
      </c>
      <c r="BT10" s="13">
        <v>5918180000</v>
      </c>
      <c r="BU10" s="66">
        <v>1519.17</v>
      </c>
      <c r="BV10" s="91">
        <f>BT10*BR$36</f>
        <v>288274547.80000001</v>
      </c>
      <c r="BW10" s="91">
        <f>BT10*BU10*BR$35</f>
        <v>3244544.1726878928</v>
      </c>
      <c r="BX10" s="91">
        <f>SUM(BV10:BW10)*0.000000001</f>
        <v>0.29151909197268794</v>
      </c>
      <c r="BY10" s="91">
        <f>BT10*BR$37*0.000000001</f>
        <v>1.1447827394160155</v>
      </c>
      <c r="BZ10" s="67"/>
      <c r="CA10" s="67"/>
      <c r="CC10" s="66" t="s">
        <v>20</v>
      </c>
      <c r="CD10" s="12">
        <v>2239.1799999999998</v>
      </c>
      <c r="CE10" s="67">
        <v>77530100</v>
      </c>
      <c r="CF10" s="66">
        <v>13090.6</v>
      </c>
      <c r="CG10" s="91">
        <f t="shared" si="0"/>
        <v>3776491.1710000001</v>
      </c>
      <c r="CH10" s="91">
        <f t="shared" si="1"/>
        <v>366259.62167893111</v>
      </c>
      <c r="CI10" s="91">
        <f t="shared" si="2"/>
        <v>4.1427507926789318E-3</v>
      </c>
      <c r="CJ10" s="91">
        <f t="shared" si="3"/>
        <v>7.7068115646754037E-3</v>
      </c>
      <c r="CM10" s="66" t="s">
        <v>42</v>
      </c>
      <c r="CO10" s="66" t="s">
        <v>1</v>
      </c>
      <c r="CP10" s="66">
        <f>CP9-(BS9+CD12)</f>
        <v>1274124.8299999987</v>
      </c>
      <c r="CQ10" s="67">
        <f>CQ9-(CE12+BT13)</f>
        <v>24527849794.419991</v>
      </c>
      <c r="CR10" s="2">
        <v>38.352499999999999</v>
      </c>
      <c r="CS10" s="91">
        <f t="shared" ref="CS10:CS12" si="36">CQ10*CO$38</f>
        <v>1194751563.4861977</v>
      </c>
      <c r="CT10" s="91">
        <f t="shared" ref="CT10:CT12" si="37">CQ10*CR10*CO$37</f>
        <v>339478.52165116736</v>
      </c>
      <c r="CU10" s="91">
        <f t="shared" ref="CU10:CU12" si="38">SUM(CS10:CT10)*0.000000001</f>
        <v>1.1950910420078491</v>
      </c>
      <c r="CV10" s="91">
        <f t="shared" ref="CV10:CV12" si="39">CQ10*CO$39*0.000000001</f>
        <v>2.6226152054851797</v>
      </c>
      <c r="CW10" s="67">
        <f>CV10-CU10</f>
        <v>1.4275241634773306</v>
      </c>
    </row>
    <row r="11" spans="1:101" ht="15" thickBot="1" x14ac:dyDescent="0.4">
      <c r="B11" s="66" t="s">
        <v>5</v>
      </c>
      <c r="C11" s="66">
        <f>2805.04</f>
        <v>2805.04</v>
      </c>
      <c r="D11" s="14">
        <v>6985000</v>
      </c>
      <c r="E11" s="2">
        <v>5203.3100000000004</v>
      </c>
      <c r="F11" s="67">
        <f>D11*$B$36</f>
        <v>340239.35000000003</v>
      </c>
      <c r="G11" s="67">
        <f>D11*E11*$B$35</f>
        <v>13116.116242528678</v>
      </c>
      <c r="H11" s="67">
        <f>SUM(F11:G11)*0.000000001</f>
        <v>3.5335546624252871E-4</v>
      </c>
      <c r="I11" s="67">
        <f>D11*$B$37*0.000000001</f>
        <v>1.1802922402251129E-3</v>
      </c>
      <c r="J11" s="67"/>
      <c r="K11" s="67"/>
      <c r="M11" s="1" t="s">
        <v>27</v>
      </c>
      <c r="Q11" s="67">
        <f>SUM(Q6:Q10)</f>
        <v>274126489.62100005</v>
      </c>
      <c r="R11" s="67">
        <f t="shared" ref="R11:T11" si="40">SUM(R6:R10)</f>
        <v>12846143.909391765</v>
      </c>
      <c r="S11" s="67">
        <f t="shared" si="40"/>
        <v>0.28697263353039182</v>
      </c>
      <c r="T11" s="67">
        <f t="shared" si="40"/>
        <v>0.42965892867011568</v>
      </c>
      <c r="U11" s="67">
        <f>T11-S11</f>
        <v>0.14268629513972386</v>
      </c>
      <c r="V11" s="67"/>
      <c r="W11" s="66" t="s">
        <v>47</v>
      </c>
      <c r="Y11" s="66" t="s">
        <v>1</v>
      </c>
      <c r="Z11" s="66">
        <v>1274124.8299999987</v>
      </c>
      <c r="AA11" s="67">
        <v>24527849794.419991</v>
      </c>
      <c r="AB11" s="2">
        <v>3240</v>
      </c>
      <c r="AC11" s="67">
        <f t="shared" ref="AC11:AC12" si="41">AA11*$Y$38</f>
        <v>1194751563.4861977</v>
      </c>
      <c r="AD11" s="67">
        <f t="shared" ref="AD11:AD12" si="42">AA11*AB11*$Y$37</f>
        <v>28678975.559605822</v>
      </c>
      <c r="AE11" s="67">
        <f t="shared" si="30"/>
        <v>1.2234305390458036</v>
      </c>
      <c r="AF11" s="67">
        <f t="shared" si="31"/>
        <v>2.0460955551635065</v>
      </c>
      <c r="AG11" s="67">
        <f t="shared" ref="AG11:AG12" si="43">AF11-AE11</f>
        <v>0.82266501611770293</v>
      </c>
      <c r="AH11" s="10"/>
      <c r="AJ11" s="66" t="s">
        <v>5</v>
      </c>
      <c r="AK11" s="66">
        <f>2805.04</f>
        <v>2805.04</v>
      </c>
      <c r="AL11" s="14">
        <v>6985000</v>
      </c>
      <c r="AM11" s="2">
        <v>5203.3100000000004</v>
      </c>
      <c r="AN11" s="91">
        <f>AL11*AJ$36</f>
        <v>340239.35000000003</v>
      </c>
      <c r="AO11" s="91">
        <f>AL11*AM11*AJ$35</f>
        <v>13116.116242528678</v>
      </c>
      <c r="AP11" s="91">
        <f>SUM(AN11:AO11)*0.000000001</f>
        <v>3.5335546624252871E-4</v>
      </c>
      <c r="AQ11" s="91">
        <f>AL11*AJ$37*0.000000001</f>
        <v>1.0521806897119145E-3</v>
      </c>
      <c r="AR11" s="67"/>
      <c r="AS11" s="67"/>
      <c r="AU11" s="1" t="s">
        <v>27</v>
      </c>
      <c r="AY11" s="67">
        <f>SUM(AY6:AY10)</f>
        <v>274126489.62100005</v>
      </c>
      <c r="AZ11" s="67">
        <f t="shared" ref="AZ11:BB11" si="44">SUM(AZ6:AZ10)</f>
        <v>12846143.909391765</v>
      </c>
      <c r="BA11" s="67">
        <f t="shared" si="44"/>
        <v>0.28697263353039182</v>
      </c>
      <c r="BB11" s="67">
        <f t="shared" si="44"/>
        <v>0.33700520910283438</v>
      </c>
      <c r="BC11" s="67">
        <f>BB11-BA11</f>
        <v>5.0032575572442561E-2</v>
      </c>
      <c r="BD11" s="67"/>
      <c r="BE11" s="66" t="s">
        <v>47</v>
      </c>
      <c r="BG11" s="66" t="s">
        <v>1</v>
      </c>
      <c r="BH11" s="66">
        <v>1274124.8299999987</v>
      </c>
      <c r="BI11" s="67">
        <v>24527849794.419991</v>
      </c>
      <c r="BJ11" s="2">
        <v>3240</v>
      </c>
      <c r="BK11" s="91">
        <f t="shared" si="32"/>
        <v>1194751563.4861977</v>
      </c>
      <c r="BL11" s="91">
        <f t="shared" si="33"/>
        <v>28678975.559605822</v>
      </c>
      <c r="BM11" s="91">
        <f t="shared" si="34"/>
        <v>1.2234305390458036</v>
      </c>
      <c r="BN11" s="91">
        <f t="shared" si="35"/>
        <v>1.6265148166070778</v>
      </c>
      <c r="BO11" s="67">
        <f t="shared" ref="BO11:BO12" si="45">BN11-BM11</f>
        <v>0.40308427756127418</v>
      </c>
      <c r="BP11" s="10"/>
      <c r="BR11" s="66" t="s">
        <v>5</v>
      </c>
      <c r="BS11" s="66">
        <f>2805.04</f>
        <v>2805.04</v>
      </c>
      <c r="BT11" s="14">
        <v>6985000</v>
      </c>
      <c r="BU11" s="2">
        <v>5203.3100000000004</v>
      </c>
      <c r="BV11" s="91">
        <f>BT11*BR$36</f>
        <v>340239.35000000003</v>
      </c>
      <c r="BW11" s="91">
        <f>BT11*BU11*BR$35</f>
        <v>13116.116242528678</v>
      </c>
      <c r="BX11" s="91">
        <f>SUM(BV11:BW11)*0.000000001</f>
        <v>3.5335546624252871E-4</v>
      </c>
      <c r="BY11" s="91">
        <f>BT11*BR$37*0.000000001</f>
        <v>1.3511429924099756E-3</v>
      </c>
      <c r="BZ11" s="67"/>
      <c r="CA11" s="67"/>
      <c r="CC11" s="1" t="s">
        <v>27</v>
      </c>
      <c r="CG11" s="67">
        <f>SUM(CG6:CG10)</f>
        <v>274126489.62100005</v>
      </c>
      <c r="CH11" s="67">
        <f t="shared" ref="CH11:CJ11" si="46">SUM(CH6:CH10)</f>
        <v>12846143.909391765</v>
      </c>
      <c r="CI11" s="67">
        <f t="shared" si="46"/>
        <v>0.28697263353039182</v>
      </c>
      <c r="CJ11" s="67">
        <f t="shared" si="46"/>
        <v>0.55941907573309002</v>
      </c>
      <c r="CK11" s="67">
        <f>CJ11-CI11</f>
        <v>0.2724464422026982</v>
      </c>
      <c r="CL11" s="67"/>
      <c r="CM11" s="66" t="s">
        <v>47</v>
      </c>
      <c r="CO11" s="66" t="s">
        <v>1</v>
      </c>
      <c r="CP11" s="66">
        <v>1274124.8299999987</v>
      </c>
      <c r="CQ11" s="67">
        <v>24527849794.419991</v>
      </c>
      <c r="CR11" s="2">
        <v>3240</v>
      </c>
      <c r="CS11" s="91">
        <f t="shared" si="36"/>
        <v>1194751563.4861977</v>
      </c>
      <c r="CT11" s="91">
        <f t="shared" si="37"/>
        <v>28678975.559605822</v>
      </c>
      <c r="CU11" s="91">
        <f t="shared" si="38"/>
        <v>1.2234305390458036</v>
      </c>
      <c r="CV11" s="91">
        <f t="shared" si="39"/>
        <v>2.6226152054851797</v>
      </c>
      <c r="CW11" s="67">
        <f t="shared" ref="CW11:CW12" si="47">CV11-CU11</f>
        <v>1.3991846664393761</v>
      </c>
    </row>
    <row r="12" spans="1:101" ht="15" thickBot="1" x14ac:dyDescent="0.4">
      <c r="B12" s="1" t="s">
        <v>27</v>
      </c>
      <c r="D12" s="67"/>
      <c r="F12" s="67">
        <f t="shared" ref="F12:G12" si="48">SUM(F10:F11)</f>
        <v>288614787.15000004</v>
      </c>
      <c r="G12" s="67">
        <f t="shared" si="48"/>
        <v>3257660.2889304217</v>
      </c>
      <c r="H12" s="67">
        <f>SUM(H10:H11)</f>
        <v>0.29187244743893048</v>
      </c>
      <c r="I12" s="67">
        <f>SUM(I10:I11)</f>
        <v>1.0012063380892529</v>
      </c>
      <c r="J12" s="67">
        <f>I12-H12</f>
        <v>0.70933389065032237</v>
      </c>
      <c r="K12" s="67"/>
      <c r="L12" s="66">
        <v>2023</v>
      </c>
      <c r="M12" s="66" t="s">
        <v>22</v>
      </c>
      <c r="N12" s="66">
        <v>331667.05</v>
      </c>
      <c r="O12" s="67">
        <v>6497940000</v>
      </c>
      <c r="W12" s="66" t="s">
        <v>43</v>
      </c>
      <c r="Y12" s="66" t="s">
        <v>1</v>
      </c>
      <c r="Z12" s="66">
        <v>1274124.8299999987</v>
      </c>
      <c r="AA12" s="66">
        <v>24527849794.419991</v>
      </c>
      <c r="AB12" s="66">
        <v>19095.3</v>
      </c>
      <c r="AC12" s="67">
        <f t="shared" si="41"/>
        <v>1194751563.4861977</v>
      </c>
      <c r="AD12" s="67">
        <f t="shared" si="42"/>
        <v>169022729.01337686</v>
      </c>
      <c r="AE12" s="67">
        <f t="shared" si="30"/>
        <v>1.3637742924995748</v>
      </c>
      <c r="AF12" s="67">
        <f t="shared" si="31"/>
        <v>2.0460955551635065</v>
      </c>
      <c r="AG12" s="67">
        <f t="shared" si="43"/>
        <v>0.68232126266393167</v>
      </c>
      <c r="AH12" s="10"/>
      <c r="AJ12" s="1" t="s">
        <v>27</v>
      </c>
      <c r="AL12" s="67"/>
      <c r="AN12" s="67">
        <f t="shared" ref="AN12:AO12" si="49">SUM(AN10:AN11)</f>
        <v>288614787.15000004</v>
      </c>
      <c r="AO12" s="67">
        <f t="shared" si="49"/>
        <v>3257660.2889304217</v>
      </c>
      <c r="AP12" s="67">
        <f>SUM(AP10:AP11)</f>
        <v>0.29187244743893048</v>
      </c>
      <c r="AQ12" s="67">
        <f>SUM(AQ10:AQ11)</f>
        <v>0.89253317055932646</v>
      </c>
      <c r="AR12" s="67">
        <f>AQ12-AP12</f>
        <v>0.60066072312039598</v>
      </c>
      <c r="AS12" s="67"/>
      <c r="AT12" s="66">
        <v>2023</v>
      </c>
      <c r="AU12" s="66" t="s">
        <v>22</v>
      </c>
      <c r="AV12" s="66">
        <v>331667.05</v>
      </c>
      <c r="AW12" s="67">
        <v>6497940000</v>
      </c>
      <c r="BE12" s="66" t="s">
        <v>43</v>
      </c>
      <c r="BG12" s="66" t="s">
        <v>1</v>
      </c>
      <c r="BH12" s="66">
        <v>1274124.8299999987</v>
      </c>
      <c r="BI12" s="66">
        <v>24527849794.419991</v>
      </c>
      <c r="BJ12" s="66">
        <v>19095.3</v>
      </c>
      <c r="BK12" s="91">
        <f t="shared" si="32"/>
        <v>1194751563.4861977</v>
      </c>
      <c r="BL12" s="91">
        <f t="shared" si="33"/>
        <v>169022729.01337686</v>
      </c>
      <c r="BM12" s="91">
        <f t="shared" si="34"/>
        <v>1.3637742924995748</v>
      </c>
      <c r="BN12" s="91">
        <f t="shared" si="35"/>
        <v>1.6265148166070778</v>
      </c>
      <c r="BO12" s="67">
        <f t="shared" si="45"/>
        <v>0.26274052410750293</v>
      </c>
      <c r="BP12" s="10"/>
      <c r="BR12" s="1" t="s">
        <v>27</v>
      </c>
      <c r="BT12" s="67"/>
      <c r="BV12" s="67">
        <f t="shared" ref="BV12:BW12" si="50">SUM(BV10:BV11)</f>
        <v>288614787.15000004</v>
      </c>
      <c r="BW12" s="67">
        <f t="shared" si="50"/>
        <v>3257660.2889304217</v>
      </c>
      <c r="BX12" s="67">
        <f>SUM(BX10:BX11)</f>
        <v>0.29187244743893048</v>
      </c>
      <c r="BY12" s="67">
        <f>SUM(BY10:BY11)</f>
        <v>1.1461338824084255</v>
      </c>
      <c r="BZ12" s="67">
        <f>BY12-BX12</f>
        <v>0.85426143496949503</v>
      </c>
      <c r="CA12" s="67"/>
      <c r="CB12" s="66">
        <v>2023</v>
      </c>
      <c r="CC12" s="66" t="s">
        <v>22</v>
      </c>
      <c r="CD12" s="66">
        <v>331667.05</v>
      </c>
      <c r="CE12" s="67">
        <v>6497940000</v>
      </c>
      <c r="CM12" s="66" t="s">
        <v>43</v>
      </c>
      <c r="CO12" s="66" t="s">
        <v>1</v>
      </c>
      <c r="CP12" s="66">
        <v>1274124.8299999987</v>
      </c>
      <c r="CQ12" s="66">
        <v>24527849794.419991</v>
      </c>
      <c r="CR12" s="66">
        <v>19095.3</v>
      </c>
      <c r="CS12" s="91">
        <f t="shared" si="36"/>
        <v>1194751563.4861977</v>
      </c>
      <c r="CT12" s="91">
        <f t="shared" si="37"/>
        <v>169022729.01337686</v>
      </c>
      <c r="CU12" s="91">
        <f t="shared" si="38"/>
        <v>1.3637742924995748</v>
      </c>
      <c r="CV12" s="91">
        <f t="shared" si="39"/>
        <v>2.6226152054851797</v>
      </c>
      <c r="CW12" s="67">
        <f t="shared" si="47"/>
        <v>1.2588409129856049</v>
      </c>
    </row>
    <row r="13" spans="1:101" ht="15" thickBot="1" x14ac:dyDescent="0.4">
      <c r="A13" s="66">
        <v>2022</v>
      </c>
      <c r="B13" s="66" t="s">
        <v>3</v>
      </c>
      <c r="C13" s="6">
        <f>250154.5</f>
        <v>250154.5</v>
      </c>
      <c r="D13" s="13">
        <v>5605900000</v>
      </c>
      <c r="M13" s="66" t="s">
        <v>17</v>
      </c>
      <c r="N13" s="66">
        <v>108262.64</v>
      </c>
      <c r="O13" s="67">
        <v>1760010000</v>
      </c>
      <c r="P13" s="66">
        <v>10024.9</v>
      </c>
      <c r="Q13" s="67">
        <f>O13*$M$49</f>
        <v>85730087.100000009</v>
      </c>
      <c r="R13" s="67">
        <f>O13*P13*$M$48</f>
        <v>6367285.5997092472</v>
      </c>
      <c r="S13" s="67">
        <f t="shared" ref="S13:S18" si="51">SUM(Q13:R13)*0.000000001</f>
        <v>9.209737269970926E-2</v>
      </c>
      <c r="T13" s="67">
        <f t="shared" ref="T13:T18" si="52">O13*$M$50*0.000000001</f>
        <v>0.13437117087483369</v>
      </c>
      <c r="X13" s="66">
        <v>2022</v>
      </c>
      <c r="Y13" s="66" t="s">
        <v>24</v>
      </c>
      <c r="Z13" s="66">
        <v>1781736.8100000012</v>
      </c>
      <c r="AA13" s="67">
        <v>32802798737.869999</v>
      </c>
      <c r="AI13" s="66">
        <v>2022</v>
      </c>
      <c r="AJ13" s="66" t="s">
        <v>3</v>
      </c>
      <c r="AK13" s="6">
        <f>250154.5</f>
        <v>250154.5</v>
      </c>
      <c r="AL13" s="13">
        <v>5605900000</v>
      </c>
      <c r="AU13" s="66" t="s">
        <v>17</v>
      </c>
      <c r="AV13" s="66">
        <v>108262.64</v>
      </c>
      <c r="AW13" s="67">
        <v>1760010000</v>
      </c>
      <c r="AX13" s="66">
        <v>10024.9</v>
      </c>
      <c r="AY13" s="91">
        <f t="shared" ref="AY13:AY18" si="53">AW13*AU$49</f>
        <v>85730087.100000009</v>
      </c>
      <c r="AZ13" s="91">
        <f t="shared" ref="AZ13:AZ18" si="54">AW13*AX13*AU$48</f>
        <v>6367285.5997092472</v>
      </c>
      <c r="BA13" s="91">
        <f t="shared" ref="BA13:BA18" si="55">SUM(AY13:AZ13)*0.000000001</f>
        <v>9.209737269970926E-2</v>
      </c>
      <c r="BB13" s="91">
        <f t="shared" ref="BB13:BB18" si="56">AW13*AU$50*0.000000001</f>
        <v>0.10539472478374601</v>
      </c>
      <c r="BF13" s="66">
        <v>2022</v>
      </c>
      <c r="BG13" s="66" t="s">
        <v>24</v>
      </c>
      <c r="BH13" s="66">
        <v>1781736.8100000012</v>
      </c>
      <c r="BI13" s="67">
        <v>32802798737.869999</v>
      </c>
      <c r="BQ13" s="66">
        <v>2022</v>
      </c>
      <c r="BR13" s="66" t="s">
        <v>3</v>
      </c>
      <c r="BS13" s="6">
        <f>250154.5</f>
        <v>250154.5</v>
      </c>
      <c r="BT13" s="13">
        <v>5605900000</v>
      </c>
      <c r="CC13" s="66" t="s">
        <v>17</v>
      </c>
      <c r="CD13" s="66">
        <v>108262.64</v>
      </c>
      <c r="CE13" s="67">
        <v>1760010000</v>
      </c>
      <c r="CF13" s="66">
        <v>10024.9</v>
      </c>
      <c r="CG13" s="91">
        <f t="shared" ref="CG13:CG18" si="57">CE13*CC$49</f>
        <v>85730087.100000009</v>
      </c>
      <c r="CH13" s="91">
        <f t="shared" ref="CH13:CH18" si="58">CE13*CF13*CC$48</f>
        <v>6367285.5997092472</v>
      </c>
      <c r="CI13" s="91">
        <f t="shared" ref="CI13:CI18" si="59">SUM(CG13:CH13)*0.000000001</f>
        <v>9.209737269970926E-2</v>
      </c>
      <c r="CJ13" s="91">
        <f t="shared" ref="CJ13:CJ18" si="60">CE13*CC$50*0.000000001</f>
        <v>0.17495224979645785</v>
      </c>
      <c r="CN13" s="66">
        <v>2022</v>
      </c>
      <c r="CO13" s="66" t="s">
        <v>24</v>
      </c>
      <c r="CP13" s="66">
        <v>1781736.8100000012</v>
      </c>
      <c r="CQ13" s="67">
        <v>32802798737.869999</v>
      </c>
    </row>
    <row r="14" spans="1:101" ht="15" thickBot="1" x14ac:dyDescent="0.4">
      <c r="B14" s="66" t="s">
        <v>4</v>
      </c>
      <c r="C14" s="5">
        <f>243422.45</f>
        <v>243422.45</v>
      </c>
      <c r="D14" s="14">
        <v>5566560000</v>
      </c>
      <c r="E14" s="66">
        <v>1519.17</v>
      </c>
      <c r="F14" s="67">
        <f>D14*$B$36</f>
        <v>271147137.60000002</v>
      </c>
      <c r="G14" s="67">
        <f>D14*E14*$B$35</f>
        <v>3051774.3309459183</v>
      </c>
      <c r="H14" s="67">
        <f>SUM(F14:G14)*0.000000001</f>
        <v>0.27419891193094598</v>
      </c>
      <c r="I14" s="67">
        <f>D14*$B$37*0.000000001</f>
        <v>0.94061096245490405</v>
      </c>
      <c r="J14" s="67"/>
      <c r="K14" s="67"/>
      <c r="M14" s="66" t="s">
        <v>16</v>
      </c>
      <c r="N14" s="66">
        <v>88031.64</v>
      </c>
      <c r="O14" s="67">
        <v>2077560000</v>
      </c>
      <c r="P14" s="66">
        <v>4900.57</v>
      </c>
      <c r="Q14" s="67">
        <f t="shared" ref="Q14:Q18" si="61">O14*$M$49</f>
        <v>101197947.60000001</v>
      </c>
      <c r="R14" s="67">
        <f t="shared" ref="R14:R18" si="62">O14*P14*$M$48</f>
        <v>3674170.6011046208</v>
      </c>
      <c r="S14" s="67">
        <f t="shared" si="51"/>
        <v>0.10487211820110463</v>
      </c>
      <c r="T14" s="67">
        <f t="shared" si="52"/>
        <v>0.15861510432481604</v>
      </c>
      <c r="W14" s="66" t="s">
        <v>42</v>
      </c>
      <c r="Y14" s="66" t="s">
        <v>1</v>
      </c>
      <c r="Z14" s="16">
        <f>Z13-(N20+C13)</f>
        <v>1323496.0400000012</v>
      </c>
      <c r="AA14" s="67">
        <f>AA13-(O20+D13)</f>
        <v>23335498737.869999</v>
      </c>
      <c r="AB14" s="2">
        <v>38.352499999999999</v>
      </c>
      <c r="AC14" s="67">
        <f>AA14*$Y$38</f>
        <v>1136672143.5216477</v>
      </c>
      <c r="AD14" s="67">
        <f>AA14*AB14*$Y$37</f>
        <v>322975.7471577063</v>
      </c>
      <c r="AE14" s="67">
        <f t="shared" ref="AE14:AE16" si="63">SUM(AC14:AD14)*0.000000001</f>
        <v>1.1369951192688055</v>
      </c>
      <c r="AF14" s="67">
        <f t="shared" ref="AF14:AF16" si="64">AA14*$Y$39*0.000000001</f>
        <v>1.9466304892303132</v>
      </c>
      <c r="AG14" s="67">
        <f>AF14-AE14</f>
        <v>0.80963536996150776</v>
      </c>
      <c r="AH14" s="10"/>
      <c r="AJ14" s="66" t="s">
        <v>4</v>
      </c>
      <c r="AK14" s="5">
        <f>243422.45</f>
        <v>243422.45</v>
      </c>
      <c r="AL14" s="14">
        <v>5566560000</v>
      </c>
      <c r="AM14" s="66">
        <v>1519.17</v>
      </c>
      <c r="AN14" s="91">
        <f>AL14*AJ$36</f>
        <v>271147137.60000002</v>
      </c>
      <c r="AO14" s="91">
        <f>AL14*AM14*AJ$35</f>
        <v>3051774.3309459183</v>
      </c>
      <c r="AP14" s="91">
        <f>SUM(AN14:AO14)*0.000000001</f>
        <v>0.27419891193094598</v>
      </c>
      <c r="AQ14" s="91">
        <f>AL14*AJ$37*0.000000001</f>
        <v>0.83851495205765991</v>
      </c>
      <c r="AR14" s="67"/>
      <c r="AS14" s="67"/>
      <c r="AU14" s="66" t="s">
        <v>16</v>
      </c>
      <c r="AV14" s="66">
        <v>88031.64</v>
      </c>
      <c r="AW14" s="67">
        <v>2077560000</v>
      </c>
      <c r="AX14" s="66">
        <v>4900.57</v>
      </c>
      <c r="AY14" s="91">
        <f t="shared" si="53"/>
        <v>101197947.60000001</v>
      </c>
      <c r="AZ14" s="91">
        <f t="shared" si="54"/>
        <v>3674170.6011046208</v>
      </c>
      <c r="BA14" s="91">
        <f t="shared" si="55"/>
        <v>0.10487211820110463</v>
      </c>
      <c r="BB14" s="91">
        <f t="shared" si="56"/>
        <v>0.12441057972495576</v>
      </c>
      <c r="BE14" s="66" t="s">
        <v>42</v>
      </c>
      <c r="BG14" s="66" t="s">
        <v>1</v>
      </c>
      <c r="BH14" s="16">
        <f>BH13-(AV20+AK13)</f>
        <v>1323496.0400000012</v>
      </c>
      <c r="BI14" s="67">
        <f>BI13-(AW20+AL13)</f>
        <v>23335498737.869999</v>
      </c>
      <c r="BJ14" s="2">
        <v>38.352499999999999</v>
      </c>
      <c r="BK14" s="91">
        <f t="shared" ref="BK14:BK16" si="65">BI14*BG$38</f>
        <v>1136672143.5216477</v>
      </c>
      <c r="BL14" s="91">
        <f t="shared" ref="BL14:BL16" si="66">BI14*BJ14*BG$37</f>
        <v>322975.7471577063</v>
      </c>
      <c r="BM14" s="91">
        <f t="shared" ref="BM14:BM16" si="67">SUM(BK14:BL14)*0.000000001</f>
        <v>1.1369951192688055</v>
      </c>
      <c r="BN14" s="91">
        <f t="shared" ref="BN14:BN16" si="68">BI14*BG$39*0.000000001</f>
        <v>1.5474464646589641</v>
      </c>
      <c r="BO14" s="67">
        <f>BN14-BM14</f>
        <v>0.4104513453901586</v>
      </c>
      <c r="BP14" s="10"/>
      <c r="BR14" s="66" t="s">
        <v>4</v>
      </c>
      <c r="BS14" s="5">
        <f>243422.45</f>
        <v>243422.45</v>
      </c>
      <c r="BT14" s="14">
        <v>5566560000</v>
      </c>
      <c r="BU14" s="66">
        <v>1519.17</v>
      </c>
      <c r="BV14" s="91">
        <f>BT14*BR$36</f>
        <v>271147137.60000002</v>
      </c>
      <c r="BW14" s="91">
        <f>BT14*BU14*BR$35</f>
        <v>3051774.3309459183</v>
      </c>
      <c r="BX14" s="91">
        <f>SUM(BV14:BW14)*0.000000001</f>
        <v>0.27419891193094598</v>
      </c>
      <c r="BY14" s="91">
        <f>BT14*BR$37*0.000000001</f>
        <v>1.0767671490092587</v>
      </c>
      <c r="BZ14" s="67"/>
      <c r="CA14" s="67"/>
      <c r="CC14" s="66" t="s">
        <v>16</v>
      </c>
      <c r="CD14" s="66">
        <v>88031.64</v>
      </c>
      <c r="CE14" s="67">
        <v>2077560000</v>
      </c>
      <c r="CF14" s="66">
        <v>4900.57</v>
      </c>
      <c r="CG14" s="91">
        <f t="shared" si="57"/>
        <v>101197947.60000001</v>
      </c>
      <c r="CH14" s="91">
        <f t="shared" si="58"/>
        <v>3674170.6011046208</v>
      </c>
      <c r="CI14" s="91">
        <f t="shared" si="59"/>
        <v>0.10487211820110463</v>
      </c>
      <c r="CJ14" s="91">
        <f t="shared" si="60"/>
        <v>0.20651802892434074</v>
      </c>
      <c r="CM14" s="66" t="s">
        <v>42</v>
      </c>
      <c r="CO14" s="66" t="s">
        <v>1</v>
      </c>
      <c r="CP14" s="16">
        <f>CP13-(CD20+BS13)</f>
        <v>1323496.0400000012</v>
      </c>
      <c r="CQ14" s="67">
        <f>CQ13-(CE20+BT13)</f>
        <v>23335498737.869999</v>
      </c>
      <c r="CR14" s="2">
        <v>38.352499999999999</v>
      </c>
      <c r="CS14" s="91">
        <f t="shared" ref="CS14:CS16" si="69">CQ14*CO$38</f>
        <v>1136672143.5216477</v>
      </c>
      <c r="CT14" s="91">
        <f t="shared" ref="CT14:CT16" si="70">CQ14*CR14*CO$37</f>
        <v>322975.7471577063</v>
      </c>
      <c r="CU14" s="91">
        <f t="shared" ref="CU14:CU16" si="71">SUM(CS14:CT14)*0.000000001</f>
        <v>1.1369951192688055</v>
      </c>
      <c r="CV14" s="91">
        <f t="shared" ref="CV14:CV16" si="72">CQ14*CO$39*0.000000001</f>
        <v>2.4951242905703417</v>
      </c>
      <c r="CW14" s="67">
        <f>CV14-CU14</f>
        <v>1.3581291713015362</v>
      </c>
    </row>
    <row r="15" spans="1:101" ht="15" thickBot="1" x14ac:dyDescent="0.4">
      <c r="B15" s="66" t="s">
        <v>5</v>
      </c>
      <c r="C15" s="66">
        <f>4945.33</f>
        <v>4945.33</v>
      </c>
      <c r="D15" s="14">
        <v>15036000</v>
      </c>
      <c r="E15" s="2">
        <v>5203.3100000000004</v>
      </c>
      <c r="F15" s="67">
        <f>D15*$B$36</f>
        <v>732403.56</v>
      </c>
      <c r="G15" s="67">
        <f>D15*E15*$B$35</f>
        <v>28233.918943831242</v>
      </c>
      <c r="H15" s="67">
        <f>SUM(F15:G15)*0.000000001</f>
        <v>7.6063747894383131E-4</v>
      </c>
      <c r="I15" s="67">
        <f>D15*$B$37*0.000000001</f>
        <v>2.5407121151073443E-3</v>
      </c>
      <c r="J15" s="67"/>
      <c r="K15" s="67"/>
      <c r="M15" s="66" t="s">
        <v>18</v>
      </c>
      <c r="N15" s="66">
        <v>77439.100000000006</v>
      </c>
      <c r="O15" s="67">
        <v>2009740000</v>
      </c>
      <c r="P15" s="66">
        <v>4511.93</v>
      </c>
      <c r="Q15" s="67">
        <f t="shared" si="61"/>
        <v>97894435.400000006</v>
      </c>
      <c r="R15" s="67">
        <f t="shared" si="62"/>
        <v>3272362.259774805</v>
      </c>
      <c r="S15" s="67">
        <f t="shared" si="51"/>
        <v>0.10116679765977482</v>
      </c>
      <c r="T15" s="67">
        <f t="shared" si="52"/>
        <v>0.15343726283031814</v>
      </c>
      <c r="W15" s="66" t="s">
        <v>47</v>
      </c>
      <c r="Y15" s="66" t="s">
        <v>1</v>
      </c>
      <c r="Z15" s="6">
        <v>1323496.0400000012</v>
      </c>
      <c r="AA15" s="13">
        <v>23335498737.869999</v>
      </c>
      <c r="AB15" s="2">
        <v>3240</v>
      </c>
      <c r="AC15" s="67">
        <f t="shared" ref="AC15:AC16" si="73">AA15*$Y$38</f>
        <v>1136672143.5216477</v>
      </c>
      <c r="AD15" s="67">
        <f t="shared" ref="AD15:AD16" si="74">AA15*AB15*$Y$37</f>
        <v>27284829.432004914</v>
      </c>
      <c r="AE15" s="67">
        <f t="shared" si="63"/>
        <v>1.1639569729536527</v>
      </c>
      <c r="AF15" s="67">
        <f t="shared" si="64"/>
        <v>1.9466304892303132</v>
      </c>
      <c r="AG15" s="67">
        <f t="shared" ref="AG15:AG16" si="75">AF15-AE15</f>
        <v>0.78267351627666049</v>
      </c>
      <c r="AH15" s="10"/>
      <c r="AJ15" s="66" t="s">
        <v>5</v>
      </c>
      <c r="AK15" s="66">
        <f>4945.33</f>
        <v>4945.33</v>
      </c>
      <c r="AL15" s="14">
        <v>15036000</v>
      </c>
      <c r="AM15" s="2">
        <v>5203.3100000000004</v>
      </c>
      <c r="AN15" s="91">
        <f>AL15*AJ$36</f>
        <v>732403.56</v>
      </c>
      <c r="AO15" s="91">
        <f>AL15*AM15*AJ$35</f>
        <v>28233.918943831242</v>
      </c>
      <c r="AP15" s="91">
        <f>SUM(AN15:AO15)*0.000000001</f>
        <v>7.6063747894383131E-4</v>
      </c>
      <c r="AQ15" s="91">
        <f>AL15*AJ$37*0.000000001</f>
        <v>2.2649375591278949E-3</v>
      </c>
      <c r="AR15" s="67"/>
      <c r="AS15" s="67"/>
      <c r="AU15" s="66" t="s">
        <v>18</v>
      </c>
      <c r="AV15" s="66">
        <v>77439.100000000006</v>
      </c>
      <c r="AW15" s="67">
        <v>2009740000</v>
      </c>
      <c r="AX15" s="66">
        <v>4511.93</v>
      </c>
      <c r="AY15" s="91">
        <f t="shared" si="53"/>
        <v>97894435.400000006</v>
      </c>
      <c r="AZ15" s="91">
        <f t="shared" si="54"/>
        <v>3272362.259774805</v>
      </c>
      <c r="BA15" s="91">
        <f t="shared" si="55"/>
        <v>0.10116679765977482</v>
      </c>
      <c r="BB15" s="91">
        <f t="shared" si="56"/>
        <v>0.12034931289417999</v>
      </c>
      <c r="BE15" s="66" t="s">
        <v>47</v>
      </c>
      <c r="BG15" s="66" t="s">
        <v>1</v>
      </c>
      <c r="BH15" s="6">
        <v>1323496.0400000012</v>
      </c>
      <c r="BI15" s="13">
        <v>23335498737.869999</v>
      </c>
      <c r="BJ15" s="2">
        <v>3240</v>
      </c>
      <c r="BK15" s="91">
        <f t="shared" si="65"/>
        <v>1136672143.5216477</v>
      </c>
      <c r="BL15" s="91">
        <f t="shared" si="66"/>
        <v>27284829.432004914</v>
      </c>
      <c r="BM15" s="91">
        <f t="shared" si="67"/>
        <v>1.1639569729536527</v>
      </c>
      <c r="BN15" s="91">
        <f t="shared" si="68"/>
        <v>1.5474464646589641</v>
      </c>
      <c r="BO15" s="67">
        <f t="shared" ref="BO15:BO16" si="76">BN15-BM15</f>
        <v>0.38348949170531133</v>
      </c>
      <c r="BP15" s="10"/>
      <c r="BR15" s="66" t="s">
        <v>5</v>
      </c>
      <c r="BS15" s="66">
        <f>4945.33</f>
        <v>4945.33</v>
      </c>
      <c r="BT15" s="14">
        <v>15036000</v>
      </c>
      <c r="BU15" s="2">
        <v>5203.3100000000004</v>
      </c>
      <c r="BV15" s="91">
        <f>BT15*BR$36</f>
        <v>732403.56</v>
      </c>
      <c r="BW15" s="91">
        <f>BT15*BU15*BR$35</f>
        <v>28233.918943831242</v>
      </c>
      <c r="BX15" s="91">
        <f>SUM(BV15:BW15)*0.000000001</f>
        <v>7.6063747894383131E-4</v>
      </c>
      <c r="BY15" s="91">
        <f>BT15*BR$37*0.000000001</f>
        <v>2.9084876211705642E-3</v>
      </c>
      <c r="BZ15" s="67"/>
      <c r="CA15" s="67"/>
      <c r="CC15" s="66" t="s">
        <v>18</v>
      </c>
      <c r="CD15" s="66">
        <v>77439.100000000006</v>
      </c>
      <c r="CE15" s="67">
        <v>2009740000</v>
      </c>
      <c r="CF15" s="66">
        <v>4511.93</v>
      </c>
      <c r="CG15" s="91">
        <f t="shared" si="57"/>
        <v>97894435.400000006</v>
      </c>
      <c r="CH15" s="91">
        <f t="shared" si="58"/>
        <v>3272362.259774805</v>
      </c>
      <c r="CI15" s="91">
        <f t="shared" si="59"/>
        <v>0.10116679765977482</v>
      </c>
      <c r="CJ15" s="91">
        <f t="shared" si="60"/>
        <v>0.19977644133040903</v>
      </c>
      <c r="CM15" s="66" t="s">
        <v>47</v>
      </c>
      <c r="CO15" s="66" t="s">
        <v>1</v>
      </c>
      <c r="CP15" s="6">
        <v>1323496.0400000012</v>
      </c>
      <c r="CQ15" s="13">
        <v>23335498737.869999</v>
      </c>
      <c r="CR15" s="2">
        <v>3240</v>
      </c>
      <c r="CS15" s="91">
        <f t="shared" si="69"/>
        <v>1136672143.5216477</v>
      </c>
      <c r="CT15" s="91">
        <f t="shared" si="70"/>
        <v>27284829.432004914</v>
      </c>
      <c r="CU15" s="91">
        <f t="shared" si="71"/>
        <v>1.1639569729536527</v>
      </c>
      <c r="CV15" s="91">
        <f t="shared" si="72"/>
        <v>2.4951242905703417</v>
      </c>
      <c r="CW15" s="67">
        <f t="shared" ref="CW15:CW16" si="77">CV15-CU15</f>
        <v>1.3311673176166889</v>
      </c>
    </row>
    <row r="16" spans="1:101" ht="15" thickBot="1" x14ac:dyDescent="0.4">
      <c r="B16" s="1" t="s">
        <v>27</v>
      </c>
      <c r="D16" s="67"/>
      <c r="F16" s="67">
        <f t="shared" ref="F16:G16" si="78">SUM(F14:F15)</f>
        <v>271879541.16000003</v>
      </c>
      <c r="G16" s="67">
        <f t="shared" si="78"/>
        <v>3080008.2498897496</v>
      </c>
      <c r="H16" s="67">
        <f>SUM(H14:H15)</f>
        <v>0.27495954940988981</v>
      </c>
      <c r="I16" s="67">
        <f>SUM(I14:I15)</f>
        <v>0.94315167457001137</v>
      </c>
      <c r="J16" s="67">
        <f>I16-H16</f>
        <v>0.6681921251601215</v>
      </c>
      <c r="K16" s="67"/>
      <c r="M16" s="66" t="s">
        <v>19</v>
      </c>
      <c r="N16" s="66">
        <v>12231.81</v>
      </c>
      <c r="O16" s="67">
        <v>345305000</v>
      </c>
      <c r="P16" s="66">
        <v>13389.8</v>
      </c>
      <c r="Q16" s="67">
        <f t="shared" si="61"/>
        <v>16819806.550000001</v>
      </c>
      <c r="R16" s="67">
        <f t="shared" si="62"/>
        <v>1668538.0033140599</v>
      </c>
      <c r="S16" s="67">
        <f t="shared" si="51"/>
        <v>1.8488344553314062E-2</v>
      </c>
      <c r="T16" s="67">
        <f t="shared" si="52"/>
        <v>2.6362939505420107E-2</v>
      </c>
      <c r="W16" s="66" t="s">
        <v>43</v>
      </c>
      <c r="Y16" s="66" t="s">
        <v>1</v>
      </c>
      <c r="Z16" s="66">
        <v>1323496.0400000012</v>
      </c>
      <c r="AA16" s="66">
        <v>23335498737.869999</v>
      </c>
      <c r="AB16" s="66">
        <v>19095.3</v>
      </c>
      <c r="AC16" s="67">
        <f t="shared" si="73"/>
        <v>1136672143.5216477</v>
      </c>
      <c r="AD16" s="67">
        <f t="shared" si="74"/>
        <v>160806173.90523562</v>
      </c>
      <c r="AE16" s="67">
        <f t="shared" si="63"/>
        <v>1.2974783174268834</v>
      </c>
      <c r="AF16" s="67">
        <f t="shared" si="64"/>
        <v>1.9466304892303132</v>
      </c>
      <c r="AG16" s="67">
        <f t="shared" si="75"/>
        <v>0.64915217180342988</v>
      </c>
      <c r="AH16" s="10"/>
      <c r="AJ16" s="1" t="s">
        <v>27</v>
      </c>
      <c r="AL16" s="67"/>
      <c r="AN16" s="67">
        <f t="shared" ref="AN16:AO16" si="79">SUM(AN14:AN15)</f>
        <v>271879541.16000003</v>
      </c>
      <c r="AO16" s="67">
        <f t="shared" si="79"/>
        <v>3080008.2498897496</v>
      </c>
      <c r="AP16" s="67">
        <f>SUM(AP14:AP15)</f>
        <v>0.27495954940988981</v>
      </c>
      <c r="AQ16" s="67">
        <f>SUM(AQ14:AQ15)</f>
        <v>0.84077988961678785</v>
      </c>
      <c r="AR16" s="67">
        <f>AQ16-AP16</f>
        <v>0.56582034020689798</v>
      </c>
      <c r="AS16" s="67"/>
      <c r="AU16" s="66" t="s">
        <v>19</v>
      </c>
      <c r="AV16" s="66">
        <v>12231.81</v>
      </c>
      <c r="AW16" s="67">
        <v>345305000</v>
      </c>
      <c r="AX16" s="66">
        <v>13389.8</v>
      </c>
      <c r="AY16" s="91">
        <f t="shared" si="53"/>
        <v>16819806.550000001</v>
      </c>
      <c r="AZ16" s="91">
        <f t="shared" si="54"/>
        <v>1668538.0033140599</v>
      </c>
      <c r="BA16" s="91">
        <f t="shared" si="55"/>
        <v>1.8488344553314062E-2</v>
      </c>
      <c r="BB16" s="91">
        <f t="shared" si="56"/>
        <v>2.0677908330890969E-2</v>
      </c>
      <c r="BE16" s="66" t="s">
        <v>43</v>
      </c>
      <c r="BG16" s="66" t="s">
        <v>1</v>
      </c>
      <c r="BH16" s="66">
        <v>1323496.0400000012</v>
      </c>
      <c r="BI16" s="66">
        <v>23335498737.869999</v>
      </c>
      <c r="BJ16" s="66">
        <v>19095.3</v>
      </c>
      <c r="BK16" s="91">
        <f t="shared" si="65"/>
        <v>1136672143.5216477</v>
      </c>
      <c r="BL16" s="91">
        <f t="shared" si="66"/>
        <v>160806173.90523562</v>
      </c>
      <c r="BM16" s="91">
        <f t="shared" si="67"/>
        <v>1.2974783174268834</v>
      </c>
      <c r="BN16" s="91">
        <f t="shared" si="68"/>
        <v>1.5474464646589641</v>
      </c>
      <c r="BO16" s="67">
        <f t="shared" si="76"/>
        <v>0.24996814723208072</v>
      </c>
      <c r="BP16" s="10"/>
      <c r="BR16" s="1" t="s">
        <v>27</v>
      </c>
      <c r="BT16" s="67"/>
      <c r="BV16" s="67">
        <f t="shared" ref="BV16:BW16" si="80">SUM(BV14:BV15)</f>
        <v>271879541.16000003</v>
      </c>
      <c r="BW16" s="67">
        <f t="shared" si="80"/>
        <v>3080008.2498897496</v>
      </c>
      <c r="BX16" s="67">
        <f>SUM(BX14:BX15)</f>
        <v>0.27495954940988981</v>
      </c>
      <c r="BY16" s="67">
        <f>SUM(BY14:BY15)</f>
        <v>1.0796756366304292</v>
      </c>
      <c r="BZ16" s="67">
        <f>BY16-BX16</f>
        <v>0.80471608722053944</v>
      </c>
      <c r="CA16" s="67"/>
      <c r="CC16" s="66" t="s">
        <v>19</v>
      </c>
      <c r="CD16" s="66">
        <v>12231.81</v>
      </c>
      <c r="CE16" s="67">
        <v>345305000</v>
      </c>
      <c r="CF16" s="66">
        <v>13389.8</v>
      </c>
      <c r="CG16" s="91">
        <f t="shared" si="57"/>
        <v>16819806.550000001</v>
      </c>
      <c r="CH16" s="91">
        <f t="shared" si="58"/>
        <v>1668538.0033140599</v>
      </c>
      <c r="CI16" s="91">
        <f t="shared" si="59"/>
        <v>1.8488344553314062E-2</v>
      </c>
      <c r="CJ16" s="91">
        <f t="shared" si="60"/>
        <v>3.4324740550318394E-2</v>
      </c>
      <c r="CM16" s="66" t="s">
        <v>43</v>
      </c>
      <c r="CO16" s="66" t="s">
        <v>1</v>
      </c>
      <c r="CP16" s="66">
        <v>1323496.0400000012</v>
      </c>
      <c r="CQ16" s="66">
        <v>23335498737.869999</v>
      </c>
      <c r="CR16" s="66">
        <v>19095.3</v>
      </c>
      <c r="CS16" s="91">
        <f t="shared" si="69"/>
        <v>1136672143.5216477</v>
      </c>
      <c r="CT16" s="91">
        <f t="shared" si="70"/>
        <v>160806173.90523562</v>
      </c>
      <c r="CU16" s="91">
        <f t="shared" si="71"/>
        <v>1.2974783174268834</v>
      </c>
      <c r="CV16" s="91">
        <f t="shared" si="72"/>
        <v>2.4951242905703417</v>
      </c>
      <c r="CW16" s="67">
        <f t="shared" si="77"/>
        <v>1.1976459731434583</v>
      </c>
    </row>
    <row r="17" spans="1:101" ht="15" thickBot="1" x14ac:dyDescent="0.4">
      <c r="A17" s="66">
        <v>2021</v>
      </c>
      <c r="B17" s="66" t="s">
        <v>3</v>
      </c>
      <c r="C17" s="66">
        <f>226272.11</f>
        <v>226272.11</v>
      </c>
      <c r="D17" s="15">
        <v>5128620000</v>
      </c>
      <c r="E17" s="7"/>
      <c r="M17" s="66" t="s">
        <v>20</v>
      </c>
      <c r="N17" s="66">
        <v>7112.1</v>
      </c>
      <c r="O17" s="67">
        <v>192285000</v>
      </c>
      <c r="P17" s="66">
        <v>13090.6</v>
      </c>
      <c r="Q17" s="67">
        <f t="shared" si="61"/>
        <v>9366202.3500000015</v>
      </c>
      <c r="R17" s="67">
        <f t="shared" si="62"/>
        <v>908372.76560372382</v>
      </c>
      <c r="S17" s="67">
        <f t="shared" si="51"/>
        <v>1.0274575115603726E-2</v>
      </c>
      <c r="T17" s="67">
        <f t="shared" si="52"/>
        <v>1.4680348743284067E-2</v>
      </c>
      <c r="X17" s="66">
        <v>2021</v>
      </c>
      <c r="Y17" s="66" t="s">
        <v>24</v>
      </c>
      <c r="Z17" s="66">
        <v>1633248.1799999992</v>
      </c>
      <c r="AA17" s="67">
        <v>36303333793.879997</v>
      </c>
      <c r="AI17" s="66">
        <v>2021</v>
      </c>
      <c r="AJ17" s="66" t="s">
        <v>3</v>
      </c>
      <c r="AK17" s="66">
        <f>226272.11</f>
        <v>226272.11</v>
      </c>
      <c r="AL17" s="15">
        <v>5128620000</v>
      </c>
      <c r="AM17" s="7"/>
      <c r="AU17" s="66" t="s">
        <v>20</v>
      </c>
      <c r="AV17" s="66">
        <v>7112.1</v>
      </c>
      <c r="AW17" s="67">
        <v>192285000</v>
      </c>
      <c r="AX17" s="66">
        <v>13090.6</v>
      </c>
      <c r="AY17" s="91">
        <f t="shared" si="53"/>
        <v>9366202.3500000015</v>
      </c>
      <c r="AZ17" s="91">
        <f t="shared" si="54"/>
        <v>908372.76560372382</v>
      </c>
      <c r="BA17" s="91">
        <f t="shared" si="55"/>
        <v>1.0274575115603726E-2</v>
      </c>
      <c r="BB17" s="91">
        <f t="shared" si="56"/>
        <v>1.1514607675548778E-2</v>
      </c>
      <c r="BF17" s="66">
        <v>2021</v>
      </c>
      <c r="BG17" s="66" t="s">
        <v>24</v>
      </c>
      <c r="BH17" s="66">
        <v>1633248.1799999992</v>
      </c>
      <c r="BI17" s="67">
        <v>36303333793.879997</v>
      </c>
      <c r="BQ17" s="66">
        <v>2021</v>
      </c>
      <c r="BR17" s="66" t="s">
        <v>3</v>
      </c>
      <c r="BS17" s="66">
        <f>226272.11</f>
        <v>226272.11</v>
      </c>
      <c r="BT17" s="15">
        <v>5128620000</v>
      </c>
      <c r="BU17" s="7"/>
      <c r="CC17" s="66" t="s">
        <v>20</v>
      </c>
      <c r="CD17" s="66">
        <v>7112.1</v>
      </c>
      <c r="CE17" s="67">
        <v>192285000</v>
      </c>
      <c r="CF17" s="66">
        <v>13090.6</v>
      </c>
      <c r="CG17" s="91">
        <f t="shared" si="57"/>
        <v>9366202.3500000015</v>
      </c>
      <c r="CH17" s="91">
        <f t="shared" si="58"/>
        <v>908372.76560372382</v>
      </c>
      <c r="CI17" s="91">
        <f t="shared" si="59"/>
        <v>1.0274575115603726E-2</v>
      </c>
      <c r="CJ17" s="91">
        <f t="shared" si="60"/>
        <v>1.9113921711872033E-2</v>
      </c>
      <c r="CN17" s="66">
        <v>2021</v>
      </c>
      <c r="CO17" s="66" t="s">
        <v>24</v>
      </c>
      <c r="CP17" s="66">
        <v>1633248.1799999992</v>
      </c>
      <c r="CQ17" s="67">
        <v>36303333793.879997</v>
      </c>
    </row>
    <row r="18" spans="1:101" ht="15" thickBot="1" x14ac:dyDescent="0.4">
      <c r="B18" s="66" t="s">
        <v>4</v>
      </c>
      <c r="C18" s="66">
        <f>218613.3</f>
        <v>218613.3</v>
      </c>
      <c r="D18" s="13">
        <v>5104520000</v>
      </c>
      <c r="E18" s="66">
        <v>1519.17</v>
      </c>
      <c r="F18" s="67">
        <f>D18*$B$36</f>
        <v>248641169.20000002</v>
      </c>
      <c r="G18" s="67">
        <f>D18*E18*$B$35</f>
        <v>2798468.5528944372</v>
      </c>
      <c r="H18" s="67">
        <f>SUM(F18:G18)*0.000000001</f>
        <v>0.25143963775289446</v>
      </c>
      <c r="I18" s="67">
        <f>D18*$B$37*0.000000001</f>
        <v>0.86253763007500261</v>
      </c>
      <c r="J18" s="67"/>
      <c r="K18" s="67"/>
      <c r="M18" s="66" t="s">
        <v>21</v>
      </c>
      <c r="N18" s="66">
        <v>3612.73</v>
      </c>
      <c r="O18" s="67">
        <v>65024000</v>
      </c>
      <c r="P18" s="66">
        <v>2839.27</v>
      </c>
      <c r="Q18" s="67">
        <f t="shared" si="61"/>
        <v>3167319.04</v>
      </c>
      <c r="R18" s="67">
        <f t="shared" si="62"/>
        <v>66625.352730296305</v>
      </c>
      <c r="S18" s="67">
        <f t="shared" si="51"/>
        <v>3.2339443927302965E-3</v>
      </c>
      <c r="T18" s="67">
        <f t="shared" si="52"/>
        <v>4.9643757790951096E-3</v>
      </c>
      <c r="W18" s="66" t="s">
        <v>42</v>
      </c>
      <c r="Y18" s="66" t="s">
        <v>1</v>
      </c>
      <c r="Z18" s="66">
        <f>Z17-(N27+C17)</f>
        <v>1236115.5799999991</v>
      </c>
      <c r="AA18" s="67">
        <f>AA17-(O27+D17)</f>
        <v>27719993793.879997</v>
      </c>
      <c r="AB18" s="2">
        <v>38.352499999999999</v>
      </c>
      <c r="AC18" s="67">
        <f>AA18*$Y$38</f>
        <v>1350240897.6998947</v>
      </c>
      <c r="AD18" s="67">
        <f>AA18*AB18*$Y$37</f>
        <v>383659.49694729212</v>
      </c>
      <c r="AE18" s="67">
        <f t="shared" ref="AE18:AE20" si="81">SUM(AC18:AD18)*0.000000001</f>
        <v>1.350624557196842</v>
      </c>
      <c r="AF18" s="67">
        <f t="shared" ref="AF18:AF20" si="82">AA18*$Y$39*0.000000001</f>
        <v>2.3123819073501077</v>
      </c>
      <c r="AG18" s="67">
        <f>AF18-AE18</f>
        <v>0.96175735015326569</v>
      </c>
      <c r="AH18" s="10"/>
      <c r="AJ18" s="66" t="s">
        <v>4</v>
      </c>
      <c r="AK18" s="66">
        <f>218613.3</f>
        <v>218613.3</v>
      </c>
      <c r="AL18" s="13">
        <v>5104520000</v>
      </c>
      <c r="AM18" s="66">
        <v>1519.17</v>
      </c>
      <c r="AN18" s="91">
        <f>AL18*AJ$36</f>
        <v>248641169.20000002</v>
      </c>
      <c r="AO18" s="91">
        <f>AL18*AM18*AJ$35</f>
        <v>2798468.5528944372</v>
      </c>
      <c r="AP18" s="91">
        <f>SUM(AN18:AO18)*0.000000001</f>
        <v>0.25143963775289446</v>
      </c>
      <c r="AQ18" s="91">
        <f>AL18*AJ$37*0.000000001</f>
        <v>0.76891587319230659</v>
      </c>
      <c r="AR18" s="67"/>
      <c r="AS18" s="67"/>
      <c r="AU18" s="66" t="s">
        <v>21</v>
      </c>
      <c r="AV18" s="66">
        <v>3612.73</v>
      </c>
      <c r="AW18" s="67">
        <v>65024000</v>
      </c>
      <c r="AX18" s="66">
        <v>2839.27</v>
      </c>
      <c r="AY18" s="91">
        <f t="shared" si="53"/>
        <v>3167319.04</v>
      </c>
      <c r="AZ18" s="91">
        <f t="shared" si="54"/>
        <v>66625.352730296305</v>
      </c>
      <c r="BA18" s="91">
        <f t="shared" si="55"/>
        <v>3.2339443927302965E-3</v>
      </c>
      <c r="BB18" s="91">
        <f t="shared" si="56"/>
        <v>3.8938338897723883E-3</v>
      </c>
      <c r="BE18" s="66" t="s">
        <v>42</v>
      </c>
      <c r="BG18" s="66" t="s">
        <v>1</v>
      </c>
      <c r="BH18" s="66">
        <f>BH17-(AV27+AK17)</f>
        <v>1236115.5799999991</v>
      </c>
      <c r="BI18" s="67">
        <f>BI17-(AW27+AL17)</f>
        <v>27719993793.879997</v>
      </c>
      <c r="BJ18" s="2">
        <v>38.352499999999999</v>
      </c>
      <c r="BK18" s="91">
        <f t="shared" ref="BK18:BK20" si="83">BI18*BG$38</f>
        <v>1350240897.6998947</v>
      </c>
      <c r="BL18" s="91">
        <f t="shared" ref="BL18:BL20" si="84">BI18*BJ18*BG$37</f>
        <v>383659.49694729212</v>
      </c>
      <c r="BM18" s="91">
        <f t="shared" ref="BM18:BM20" si="85">SUM(BK18:BL18)*0.000000001</f>
        <v>1.350624557196842</v>
      </c>
      <c r="BN18" s="91">
        <f t="shared" ref="BN18:BN20" si="86">BI18*BG$39*0.000000001</f>
        <v>1.8381953982879984</v>
      </c>
      <c r="BO18" s="67">
        <f>BN18-BM18</f>
        <v>0.48757084109115634</v>
      </c>
      <c r="BP18" s="10"/>
      <c r="BR18" s="66" t="s">
        <v>4</v>
      </c>
      <c r="BS18" s="66">
        <f>218613.3</f>
        <v>218613.3</v>
      </c>
      <c r="BT18" s="13">
        <v>5104520000</v>
      </c>
      <c r="BU18" s="66">
        <v>1519.17</v>
      </c>
      <c r="BV18" s="91">
        <f>BT18*BR$36</f>
        <v>248641169.20000002</v>
      </c>
      <c r="BW18" s="91">
        <f>BT18*BU18*BR$35</f>
        <v>2798468.5528944372</v>
      </c>
      <c r="BX18" s="91">
        <f>SUM(BV18:BW18)*0.000000001</f>
        <v>0.25143963775289446</v>
      </c>
      <c r="BY18" s="91">
        <f>BT18*BR$37*0.000000001</f>
        <v>0.98739247353136261</v>
      </c>
      <c r="BZ18" s="67"/>
      <c r="CA18" s="67"/>
      <c r="CC18" s="66" t="s">
        <v>21</v>
      </c>
      <c r="CD18" s="66">
        <v>3612.73</v>
      </c>
      <c r="CE18" s="67">
        <v>65024000</v>
      </c>
      <c r="CF18" s="66">
        <v>2839.27</v>
      </c>
      <c r="CG18" s="91">
        <f t="shared" si="57"/>
        <v>3167319.04</v>
      </c>
      <c r="CH18" s="91">
        <f t="shared" si="58"/>
        <v>66625.352730296305</v>
      </c>
      <c r="CI18" s="91">
        <f t="shared" si="59"/>
        <v>3.2339443927302965E-3</v>
      </c>
      <c r="CJ18" s="91">
        <f t="shared" si="60"/>
        <v>6.4636536671751153E-3</v>
      </c>
      <c r="CM18" s="66" t="s">
        <v>42</v>
      </c>
      <c r="CO18" s="66" t="s">
        <v>1</v>
      </c>
      <c r="CP18" s="66">
        <f>CP17-(CD27+BS17)</f>
        <v>1236115.5799999991</v>
      </c>
      <c r="CQ18" s="67">
        <f>CQ17-(CE27+BT17)</f>
        <v>27719993793.879997</v>
      </c>
      <c r="CR18" s="2">
        <v>38.352499999999999</v>
      </c>
      <c r="CS18" s="91">
        <f t="shared" ref="CS18:CS20" si="87">CQ18*CO$38</f>
        <v>1350240897.6998947</v>
      </c>
      <c r="CT18" s="91">
        <f t="shared" ref="CT18:CT20" si="88">CQ18*CR18*CO$37</f>
        <v>383659.49694729212</v>
      </c>
      <c r="CU18" s="91">
        <f t="shared" ref="CU18:CU20" si="89">SUM(CS18:CT18)*0.000000001</f>
        <v>1.350624557196842</v>
      </c>
      <c r="CV18" s="91">
        <f t="shared" ref="CV18:CV20" si="90">CQ18*CO$39*0.000000001</f>
        <v>2.9639319316250567</v>
      </c>
      <c r="CW18" s="67">
        <f>CV18-CU18</f>
        <v>1.6133073744282147</v>
      </c>
    </row>
    <row r="19" spans="1:101" ht="15" thickBot="1" x14ac:dyDescent="0.4">
      <c r="B19" s="66" t="s">
        <v>5</v>
      </c>
      <c r="C19" s="66">
        <f>5266.43</f>
        <v>5266.43</v>
      </c>
      <c r="D19" s="15">
        <v>11223000</v>
      </c>
      <c r="E19" s="2">
        <v>5203.3100000000004</v>
      </c>
      <c r="F19" s="67">
        <f>D19*$B$36</f>
        <v>546672.33000000007</v>
      </c>
      <c r="G19" s="67">
        <f>D19*E19*$B$35</f>
        <v>21074.040456678507</v>
      </c>
      <c r="H19" s="67">
        <f>SUM(F19:G19)*0.000000001</f>
        <v>5.6774637045667862E-4</v>
      </c>
      <c r="I19" s="67">
        <f>D19*$B$37*0.000000001</f>
        <v>1.896409421910729E-3</v>
      </c>
      <c r="J19" s="67"/>
      <c r="K19" s="67"/>
      <c r="M19" s="1" t="s">
        <v>27</v>
      </c>
      <c r="Q19" s="67">
        <f>SUM(Q13:Q18)</f>
        <v>314175798.04000008</v>
      </c>
      <c r="R19" s="67">
        <f t="shared" ref="R19:T19" si="91">SUM(R13:R18)</f>
        <v>15957354.58223675</v>
      </c>
      <c r="S19" s="67">
        <f t="shared" si="91"/>
        <v>0.33013315262223675</v>
      </c>
      <c r="T19" s="67">
        <f t="shared" si="91"/>
        <v>0.49243120205776708</v>
      </c>
      <c r="U19" s="67">
        <f>T19-S19</f>
        <v>0.16229804943553033</v>
      </c>
      <c r="V19" s="67"/>
      <c r="W19" s="66" t="s">
        <v>47</v>
      </c>
      <c r="Y19" s="66" t="s">
        <v>1</v>
      </c>
      <c r="Z19" s="66">
        <v>1236115.5799999991</v>
      </c>
      <c r="AA19" s="67">
        <v>27719993793.879997</v>
      </c>
      <c r="AB19" s="2">
        <v>3240</v>
      </c>
      <c r="AC19" s="67">
        <f t="shared" ref="AC19:AC20" si="92">AA19*$Y$38</f>
        <v>1350240897.6998947</v>
      </c>
      <c r="AD19" s="67">
        <f t="shared" ref="AD19:AD20" si="93">AA19*AB19*$Y$37</f>
        <v>32411362.234775476</v>
      </c>
      <c r="AE19" s="67">
        <f t="shared" si="81"/>
        <v>1.3826522599346702</v>
      </c>
      <c r="AF19" s="67">
        <f t="shared" si="82"/>
        <v>2.3123819073501077</v>
      </c>
      <c r="AG19" s="67">
        <f t="shared" ref="AG19:AG20" si="94">AF19-AE19</f>
        <v>0.92972964741543751</v>
      </c>
      <c r="AH19" s="10"/>
      <c r="AJ19" s="66" t="s">
        <v>5</v>
      </c>
      <c r="AK19" s="66">
        <f>5266.43</f>
        <v>5266.43</v>
      </c>
      <c r="AL19" s="15">
        <v>11223000</v>
      </c>
      <c r="AM19" s="2">
        <v>5203.3100000000004</v>
      </c>
      <c r="AN19" s="91">
        <f>AL19*AJ$36</f>
        <v>546672.33000000007</v>
      </c>
      <c r="AO19" s="91">
        <f>AL19*AM19*AJ$35</f>
        <v>21074.040456678507</v>
      </c>
      <c r="AP19" s="91">
        <f>SUM(AN19:AO19)*0.000000001</f>
        <v>5.6774637045667862E-4</v>
      </c>
      <c r="AQ19" s="91">
        <f>AL19*AJ$37*0.000000001</f>
        <v>1.6905689163402742E-3</v>
      </c>
      <c r="AR19" s="67"/>
      <c r="AS19" s="67"/>
      <c r="AU19" s="1" t="s">
        <v>27</v>
      </c>
      <c r="AY19" s="67">
        <f>SUM(AY13:AY18)</f>
        <v>314175798.04000008</v>
      </c>
      <c r="AZ19" s="67">
        <f t="shared" ref="AZ19:BB19" si="95">SUM(AZ13:AZ18)</f>
        <v>15957354.58223675</v>
      </c>
      <c r="BA19" s="67">
        <f t="shared" si="95"/>
        <v>0.33013315262223675</v>
      </c>
      <c r="BB19" s="67">
        <f t="shared" si="95"/>
        <v>0.38624096729909391</v>
      </c>
      <c r="BC19" s="67">
        <f>BB19-BA19</f>
        <v>5.610781467685716E-2</v>
      </c>
      <c r="BD19" s="67"/>
      <c r="BE19" s="66" t="s">
        <v>47</v>
      </c>
      <c r="BG19" s="66" t="s">
        <v>1</v>
      </c>
      <c r="BH19" s="66">
        <v>1236115.5799999991</v>
      </c>
      <c r="BI19" s="67">
        <v>27719993793.879997</v>
      </c>
      <c r="BJ19" s="2">
        <v>3240</v>
      </c>
      <c r="BK19" s="91">
        <f t="shared" si="83"/>
        <v>1350240897.6998947</v>
      </c>
      <c r="BL19" s="91">
        <f t="shared" si="84"/>
        <v>32411362.234775476</v>
      </c>
      <c r="BM19" s="91">
        <f t="shared" si="85"/>
        <v>1.3826522599346702</v>
      </c>
      <c r="BN19" s="91">
        <f t="shared" si="86"/>
        <v>1.8381953982879984</v>
      </c>
      <c r="BO19" s="67">
        <f t="shared" ref="BO19:BO20" si="96">BN19-BM19</f>
        <v>0.45554313835332816</v>
      </c>
      <c r="BP19" s="10"/>
      <c r="BR19" s="66" t="s">
        <v>5</v>
      </c>
      <c r="BS19" s="66">
        <f>5266.43</f>
        <v>5266.43</v>
      </c>
      <c r="BT19" s="15">
        <v>11223000</v>
      </c>
      <c r="BU19" s="2">
        <v>5203.3100000000004</v>
      </c>
      <c r="BV19" s="91">
        <f>BT19*BR$36</f>
        <v>546672.33000000007</v>
      </c>
      <c r="BW19" s="91">
        <f>BT19*BU19*BR$35</f>
        <v>21074.040456678507</v>
      </c>
      <c r="BX19" s="91">
        <f>SUM(BV19:BW19)*0.000000001</f>
        <v>5.6774637045667862E-4</v>
      </c>
      <c r="BY19" s="91">
        <f>BT19*BR$37*0.000000001</f>
        <v>2.1709202296087554E-3</v>
      </c>
      <c r="BZ19" s="67"/>
      <c r="CA19" s="67"/>
      <c r="CC19" s="1" t="s">
        <v>27</v>
      </c>
      <c r="CG19" s="67">
        <f>SUM(CG13:CG18)</f>
        <v>314175798.04000008</v>
      </c>
      <c r="CH19" s="67">
        <f t="shared" ref="CH19:CJ19" si="97">SUM(CH13:CH18)</f>
        <v>15957354.58223675</v>
      </c>
      <c r="CI19" s="67">
        <f t="shared" si="97"/>
        <v>0.33013315262223675</v>
      </c>
      <c r="CJ19" s="67">
        <f t="shared" si="97"/>
        <v>0.64114903598057316</v>
      </c>
      <c r="CK19" s="67">
        <f>CJ19-CI19</f>
        <v>0.31101588335833641</v>
      </c>
      <c r="CL19" s="67"/>
      <c r="CM19" s="66" t="s">
        <v>47</v>
      </c>
      <c r="CO19" s="66" t="s">
        <v>1</v>
      </c>
      <c r="CP19" s="66">
        <v>1236115.5799999991</v>
      </c>
      <c r="CQ19" s="67">
        <v>27719993793.879997</v>
      </c>
      <c r="CR19" s="2">
        <v>3240</v>
      </c>
      <c r="CS19" s="91">
        <f t="shared" si="87"/>
        <v>1350240897.6998947</v>
      </c>
      <c r="CT19" s="91">
        <f t="shared" si="88"/>
        <v>32411362.234775476</v>
      </c>
      <c r="CU19" s="91">
        <f t="shared" si="89"/>
        <v>1.3826522599346702</v>
      </c>
      <c r="CV19" s="91">
        <f t="shared" si="90"/>
        <v>2.9639319316250567</v>
      </c>
      <c r="CW19" s="67">
        <f t="shared" ref="CW19:CW20" si="98">CV19-CU19</f>
        <v>1.5812796716903865</v>
      </c>
    </row>
    <row r="20" spans="1:101" x14ac:dyDescent="0.35">
      <c r="B20" s="1" t="s">
        <v>27</v>
      </c>
      <c r="D20" s="67"/>
      <c r="F20" s="67">
        <f t="shared" ref="F20:G20" si="99">SUM(F18:F19)</f>
        <v>249187841.53000003</v>
      </c>
      <c r="G20" s="67">
        <f t="shared" si="99"/>
        <v>2819542.5933511159</v>
      </c>
      <c r="H20" s="67">
        <f>SUM(H18:H19)</f>
        <v>0.25200738412335116</v>
      </c>
      <c r="I20" s="67">
        <f>SUM(I18:I19)</f>
        <v>0.86443403949691333</v>
      </c>
      <c r="J20" s="67">
        <f>I20-H20</f>
        <v>0.61242665537356222</v>
      </c>
      <c r="K20" s="67"/>
      <c r="L20" s="66">
        <v>2022</v>
      </c>
      <c r="M20" s="66" t="s">
        <v>22</v>
      </c>
      <c r="N20" s="66">
        <v>208086.27</v>
      </c>
      <c r="O20" s="67">
        <v>3861400000</v>
      </c>
      <c r="W20" s="66" t="s">
        <v>43</v>
      </c>
      <c r="Y20" s="66" t="s">
        <v>1</v>
      </c>
      <c r="Z20" s="66">
        <v>1236115.5799999991</v>
      </c>
      <c r="AA20" s="66">
        <v>27719993793.879997</v>
      </c>
      <c r="AB20" s="66">
        <v>19095.3</v>
      </c>
      <c r="AC20" s="67">
        <f t="shared" si="92"/>
        <v>1350240897.6998947</v>
      </c>
      <c r="AD20" s="67">
        <f t="shared" si="93"/>
        <v>191019964.5931198</v>
      </c>
      <c r="AE20" s="67">
        <f t="shared" si="81"/>
        <v>1.5412608622930146</v>
      </c>
      <c r="AF20" s="67">
        <f t="shared" si="82"/>
        <v>2.3123819073501077</v>
      </c>
      <c r="AG20" s="67">
        <f t="shared" si="94"/>
        <v>0.77112104505709311</v>
      </c>
      <c r="AH20" s="10"/>
      <c r="AJ20" s="1" t="s">
        <v>27</v>
      </c>
      <c r="AL20" s="67"/>
      <c r="AN20" s="67">
        <f t="shared" ref="AN20:AO20" si="100">SUM(AN18:AN19)</f>
        <v>249187841.53000003</v>
      </c>
      <c r="AO20" s="67">
        <f t="shared" si="100"/>
        <v>2819542.5933511159</v>
      </c>
      <c r="AP20" s="67">
        <f>SUM(AP18:AP19)</f>
        <v>0.25200738412335116</v>
      </c>
      <c r="AQ20" s="67">
        <f>SUM(AQ18:AQ19)</f>
        <v>0.77060644210864682</v>
      </c>
      <c r="AR20" s="67">
        <f>AQ20-AP20</f>
        <v>0.51859905798529571</v>
      </c>
      <c r="AS20" s="67"/>
      <c r="AT20" s="66">
        <v>2022</v>
      </c>
      <c r="AU20" s="66" t="s">
        <v>22</v>
      </c>
      <c r="AV20" s="66">
        <v>208086.27</v>
      </c>
      <c r="AW20" s="67">
        <v>3861400000</v>
      </c>
      <c r="BE20" s="66" t="s">
        <v>43</v>
      </c>
      <c r="BG20" s="66" t="s">
        <v>1</v>
      </c>
      <c r="BH20" s="66">
        <v>1236115.5799999991</v>
      </c>
      <c r="BI20" s="66">
        <v>27719993793.879997</v>
      </c>
      <c r="BJ20" s="66">
        <v>19095.3</v>
      </c>
      <c r="BK20" s="91">
        <f t="shared" si="83"/>
        <v>1350240897.6998947</v>
      </c>
      <c r="BL20" s="91">
        <f t="shared" si="84"/>
        <v>191019964.5931198</v>
      </c>
      <c r="BM20" s="91">
        <f t="shared" si="85"/>
        <v>1.5412608622930146</v>
      </c>
      <c r="BN20" s="91">
        <f t="shared" si="86"/>
        <v>1.8381953982879984</v>
      </c>
      <c r="BO20" s="67">
        <f t="shared" si="96"/>
        <v>0.29693453599498376</v>
      </c>
      <c r="BP20" s="10"/>
      <c r="BR20" s="1" t="s">
        <v>27</v>
      </c>
      <c r="BT20" s="67"/>
      <c r="BV20" s="67">
        <f t="shared" ref="BV20:BW20" si="101">SUM(BV18:BV19)</f>
        <v>249187841.53000003</v>
      </c>
      <c r="BW20" s="67">
        <f t="shared" si="101"/>
        <v>2819542.5933511159</v>
      </c>
      <c r="BX20" s="67">
        <f>SUM(BX18:BX19)</f>
        <v>0.25200738412335116</v>
      </c>
      <c r="BY20" s="67">
        <f>SUM(BY18:BY19)</f>
        <v>0.98956339376097135</v>
      </c>
      <c r="BZ20" s="67">
        <f>BY20-BX20</f>
        <v>0.73755600963762014</v>
      </c>
      <c r="CA20" s="67"/>
      <c r="CB20" s="66">
        <v>2022</v>
      </c>
      <c r="CC20" s="66" t="s">
        <v>22</v>
      </c>
      <c r="CD20" s="66">
        <v>208086.27</v>
      </c>
      <c r="CE20" s="67">
        <v>3861400000</v>
      </c>
      <c r="CM20" s="66" t="s">
        <v>43</v>
      </c>
      <c r="CO20" s="66" t="s">
        <v>1</v>
      </c>
      <c r="CP20" s="66">
        <v>1236115.5799999991</v>
      </c>
      <c r="CQ20" s="66">
        <v>27719993793.879997</v>
      </c>
      <c r="CR20" s="66">
        <v>19095.3</v>
      </c>
      <c r="CS20" s="91">
        <f t="shared" si="87"/>
        <v>1350240897.6998947</v>
      </c>
      <c r="CT20" s="91">
        <f t="shared" si="88"/>
        <v>191019964.5931198</v>
      </c>
      <c r="CU20" s="91">
        <f t="shared" si="89"/>
        <v>1.5412608622930146</v>
      </c>
      <c r="CV20" s="91">
        <f t="shared" si="90"/>
        <v>2.9639319316250567</v>
      </c>
      <c r="CW20" s="67">
        <f t="shared" si="98"/>
        <v>1.4226710693320421</v>
      </c>
    </row>
    <row r="21" spans="1:101" x14ac:dyDescent="0.35">
      <c r="A21" s="66">
        <v>2020</v>
      </c>
      <c r="B21" s="66" t="s">
        <v>3</v>
      </c>
      <c r="C21" s="66">
        <f>179594.13</f>
        <v>179594.13</v>
      </c>
      <c r="D21" s="13">
        <v>4100930000</v>
      </c>
      <c r="M21" s="66" t="s">
        <v>17</v>
      </c>
      <c r="N21" s="66">
        <v>91493.06</v>
      </c>
      <c r="O21" s="67">
        <v>1426560000</v>
      </c>
      <c r="P21" s="66">
        <v>10024.9</v>
      </c>
      <c r="Q21" s="67">
        <f>O21*$M$49</f>
        <v>69487737.600000009</v>
      </c>
      <c r="R21" s="67">
        <f>O21*P21*$M$48</f>
        <v>5160945.0770854848</v>
      </c>
      <c r="S21" s="67">
        <f t="shared" ref="S21:S25" si="102">SUM(Q21:R21)*0.000000001</f>
        <v>7.4648682677085493E-2</v>
      </c>
      <c r="T21" s="67">
        <f t="shared" ref="T21:T25" si="103">O21*$M$50*0.000000001</f>
        <v>0.10891332294884844</v>
      </c>
      <c r="AI21" s="66">
        <v>2020</v>
      </c>
      <c r="AJ21" s="66" t="s">
        <v>3</v>
      </c>
      <c r="AK21" s="66">
        <f>179594.13</f>
        <v>179594.13</v>
      </c>
      <c r="AL21" s="13">
        <v>4100930000</v>
      </c>
      <c r="AU21" s="66" t="s">
        <v>17</v>
      </c>
      <c r="AV21" s="66">
        <v>91493.06</v>
      </c>
      <c r="AW21" s="67">
        <v>1426560000</v>
      </c>
      <c r="AX21" s="66">
        <v>10024.9</v>
      </c>
      <c r="AY21" s="91">
        <f t="shared" ref="AY21:AY25" si="104">AW21*AU$49</f>
        <v>69487737.600000009</v>
      </c>
      <c r="AZ21" s="91">
        <f t="shared" ref="AZ21:AZ25" si="105">AW21*AX21*AU$48</f>
        <v>5160945.0770854848</v>
      </c>
      <c r="BA21" s="91">
        <f t="shared" ref="BA21:BA25" si="106">SUM(AY21:AZ21)*0.000000001</f>
        <v>7.4648682677085493E-2</v>
      </c>
      <c r="BB21" s="91">
        <f t="shared" ref="BB21:BB25" si="107">AW21*AU$50*0.000000001</f>
        <v>8.5426729727388323E-2</v>
      </c>
      <c r="BQ21" s="66">
        <v>2020</v>
      </c>
      <c r="BR21" s="66" t="s">
        <v>3</v>
      </c>
      <c r="BS21" s="66">
        <f>179594.13</f>
        <v>179594.13</v>
      </c>
      <c r="BT21" s="13">
        <v>4100930000</v>
      </c>
      <c r="CC21" s="66" t="s">
        <v>17</v>
      </c>
      <c r="CD21" s="66">
        <v>91493.06</v>
      </c>
      <c r="CE21" s="67">
        <v>1426560000</v>
      </c>
      <c r="CF21" s="66">
        <v>10024.9</v>
      </c>
      <c r="CG21" s="91">
        <f t="shared" ref="CG21:CG25" si="108">CE21*CC$49</f>
        <v>69487737.600000009</v>
      </c>
      <c r="CH21" s="91">
        <f t="shared" ref="CH21:CH25" si="109">CE21*CF21*CC$48</f>
        <v>5160945.0770854848</v>
      </c>
      <c r="CI21" s="91">
        <f t="shared" ref="CI21:CI25" si="110">SUM(CG21:CH21)*0.000000001</f>
        <v>7.4648682677085493E-2</v>
      </c>
      <c r="CJ21" s="91">
        <f t="shared" ref="CJ21:CJ25" si="111">CE21*CC$50*0.000000001</f>
        <v>0.14180594511942257</v>
      </c>
    </row>
    <row r="22" spans="1:101" x14ac:dyDescent="0.35">
      <c r="B22" s="66" t="s">
        <v>4</v>
      </c>
      <c r="C22" s="66">
        <f>172595.13</f>
        <v>172595.13</v>
      </c>
      <c r="D22" s="13">
        <v>4076950000</v>
      </c>
      <c r="E22" s="66">
        <v>1519.17</v>
      </c>
      <c r="F22" s="67">
        <f>D22*$B$36</f>
        <v>198588234.5</v>
      </c>
      <c r="G22" s="67">
        <f>D22*E22*$B$35</f>
        <v>2235120.3182126777</v>
      </c>
      <c r="H22" s="67">
        <f>SUM(F22:G22)*0.000000001</f>
        <v>0.2008233548182127</v>
      </c>
      <c r="I22" s="67">
        <f>D22*$B$37*0.000000001</f>
        <v>0.6889037149299605</v>
      </c>
      <c r="J22" s="67"/>
      <c r="K22" s="67"/>
      <c r="M22" s="66" t="s">
        <v>18</v>
      </c>
      <c r="N22" s="66">
        <v>54730.36</v>
      </c>
      <c r="O22" s="67">
        <v>1333930000</v>
      </c>
      <c r="P22" s="66">
        <v>4511.93</v>
      </c>
      <c r="Q22" s="67">
        <f t="shared" ref="Q22:Q25" si="112">O22*$M$49</f>
        <v>64975730.300000004</v>
      </c>
      <c r="R22" s="67">
        <f t="shared" ref="R22:R25" si="113">O22*P22*$M$48</f>
        <v>2171973.5832403223</v>
      </c>
      <c r="S22" s="67">
        <f t="shared" si="102"/>
        <v>6.7147703883240331E-2</v>
      </c>
      <c r="T22" s="67">
        <f t="shared" si="103"/>
        <v>0.10184131679085169</v>
      </c>
      <c r="X22" s="66">
        <v>2020</v>
      </c>
      <c r="Y22" s="66" t="s">
        <v>24</v>
      </c>
      <c r="Z22" s="66">
        <v>1318599.5300000012</v>
      </c>
      <c r="AA22" s="67">
        <v>31095256766.259991</v>
      </c>
      <c r="AJ22" s="66" t="s">
        <v>4</v>
      </c>
      <c r="AK22" s="66">
        <f>172595.13</f>
        <v>172595.13</v>
      </c>
      <c r="AL22" s="13">
        <v>4076950000</v>
      </c>
      <c r="AM22" s="66">
        <v>1519.17</v>
      </c>
      <c r="AN22" s="91">
        <f>AL22*AJ$36</f>
        <v>198588234.5</v>
      </c>
      <c r="AO22" s="91">
        <f>AL22*AM22*AJ$35</f>
        <v>2235120.3182126777</v>
      </c>
      <c r="AP22" s="91">
        <f>SUM(AN22:AO22)*0.000000001</f>
        <v>0.2008233548182127</v>
      </c>
      <c r="AQ22" s="91">
        <f>AL22*AJ$37*0.000000001</f>
        <v>0.61412857021059264</v>
      </c>
      <c r="AR22" s="67"/>
      <c r="AS22" s="67"/>
      <c r="AU22" s="66" t="s">
        <v>18</v>
      </c>
      <c r="AV22" s="66">
        <v>54730.36</v>
      </c>
      <c r="AW22" s="67">
        <v>1333930000</v>
      </c>
      <c r="AX22" s="66">
        <v>4511.93</v>
      </c>
      <c r="AY22" s="91">
        <f t="shared" si="104"/>
        <v>64975730.300000004</v>
      </c>
      <c r="AZ22" s="91">
        <f t="shared" si="105"/>
        <v>2171973.5832403223</v>
      </c>
      <c r="BA22" s="91">
        <f t="shared" si="106"/>
        <v>6.7147703883240331E-2</v>
      </c>
      <c r="BB22" s="91">
        <f t="shared" si="107"/>
        <v>7.9879765018825072E-2</v>
      </c>
      <c r="BF22" s="66">
        <v>2020</v>
      </c>
      <c r="BG22" s="66" t="s">
        <v>24</v>
      </c>
      <c r="BH22" s="66">
        <v>1318599.5300000012</v>
      </c>
      <c r="BI22" s="67">
        <v>31095256766.259991</v>
      </c>
      <c r="BR22" s="66" t="s">
        <v>4</v>
      </c>
      <c r="BS22" s="66">
        <f>172595.13</f>
        <v>172595.13</v>
      </c>
      <c r="BT22" s="13">
        <v>4076950000</v>
      </c>
      <c r="BU22" s="66">
        <v>1519.17</v>
      </c>
      <c r="BV22" s="91">
        <f>BT22*BR$36</f>
        <v>198588234.5</v>
      </c>
      <c r="BW22" s="91">
        <f>BT22*BU22*BR$35</f>
        <v>2235120.3182126777</v>
      </c>
      <c r="BX22" s="91">
        <f>SUM(BV22:BW22)*0.000000001</f>
        <v>0.2008233548182127</v>
      </c>
      <c r="BY22" s="91">
        <f>BT22*BR$37*0.000000001</f>
        <v>0.78862454157564066</v>
      </c>
      <c r="BZ22" s="67"/>
      <c r="CA22" s="67"/>
      <c r="CC22" s="66" t="s">
        <v>18</v>
      </c>
      <c r="CD22" s="66">
        <v>54730.36</v>
      </c>
      <c r="CE22" s="67">
        <v>1333930000</v>
      </c>
      <c r="CF22" s="66">
        <v>4511.93</v>
      </c>
      <c r="CG22" s="91">
        <f t="shared" si="108"/>
        <v>64975730.300000004</v>
      </c>
      <c r="CH22" s="91">
        <f t="shared" si="109"/>
        <v>2171973.5832403223</v>
      </c>
      <c r="CI22" s="91">
        <f t="shared" si="110"/>
        <v>6.7147703883240331E-2</v>
      </c>
      <c r="CJ22" s="91">
        <f t="shared" si="111"/>
        <v>0.13259814124407759</v>
      </c>
      <c r="CN22" s="66">
        <v>2020</v>
      </c>
      <c r="CO22" s="66" t="s">
        <v>24</v>
      </c>
      <c r="CP22" s="66">
        <v>1318599.5300000012</v>
      </c>
      <c r="CQ22" s="67">
        <v>31095256766.259991</v>
      </c>
    </row>
    <row r="23" spans="1:101" ht="15" thickBot="1" x14ac:dyDescent="0.4">
      <c r="B23" s="66" t="s">
        <v>5</v>
      </c>
      <c r="C23" s="66">
        <f>3987.64</f>
        <v>3987.64</v>
      </c>
      <c r="D23" s="13">
        <v>12079000</v>
      </c>
      <c r="E23" s="2">
        <v>5203.3100000000004</v>
      </c>
      <c r="F23" s="67">
        <f>D23*$B$36</f>
        <v>588368.09000000008</v>
      </c>
      <c r="G23" s="67">
        <f>D23*E23*$B$35</f>
        <v>22681.398438583241</v>
      </c>
      <c r="H23" s="67">
        <f>SUM(F23:G23)*0.000000001</f>
        <v>6.1104948843858332E-4</v>
      </c>
      <c r="I23" s="67">
        <f>D23*$B$37*0.000000001</f>
        <v>2.041052250490929E-3</v>
      </c>
      <c r="J23" s="67"/>
      <c r="K23" s="67"/>
      <c r="M23" s="66" t="s">
        <v>16</v>
      </c>
      <c r="N23" s="66">
        <v>38629.629999999997</v>
      </c>
      <c r="O23" s="67">
        <v>904198000</v>
      </c>
      <c r="P23" s="66">
        <v>4900.57</v>
      </c>
      <c r="Q23" s="67">
        <f t="shared" si="112"/>
        <v>44043484.580000006</v>
      </c>
      <c r="R23" s="67">
        <f t="shared" si="113"/>
        <v>1599076.6616500106</v>
      </c>
      <c r="S23" s="67">
        <f t="shared" si="102"/>
        <v>4.5642561241650018E-2</v>
      </c>
      <c r="T23" s="67">
        <f t="shared" si="103"/>
        <v>6.9032644111500979E-2</v>
      </c>
      <c r="W23" s="66" t="s">
        <v>42</v>
      </c>
      <c r="Y23" s="66" t="s">
        <v>1</v>
      </c>
      <c r="Z23" s="66">
        <f>Z22-(N33+C21)</f>
        <v>999873.30000000121</v>
      </c>
      <c r="AA23" s="67">
        <f>AA22-(O33+D21)</f>
        <v>23597456766.259991</v>
      </c>
      <c r="AB23" s="2">
        <v>38.352499999999999</v>
      </c>
      <c r="AC23" s="67">
        <f>AA23*$Y$38</f>
        <v>1149432119.0845242</v>
      </c>
      <c r="AD23" s="67">
        <f>AA23*AB23*$Y$37</f>
        <v>326601.38597064134</v>
      </c>
      <c r="AE23" s="67">
        <f t="shared" ref="AE23:AE25" si="114">SUM(AC23:AD23)*0.000000001</f>
        <v>1.1497587204704949</v>
      </c>
      <c r="AF23" s="67">
        <f t="shared" ref="AF23:AF25" si="115">AA23*$Y$39*0.000000001</f>
        <v>1.968482839192522</v>
      </c>
      <c r="AG23" s="67">
        <f>AF23-AE23</f>
        <v>0.81872411872202711</v>
      </c>
      <c r="AH23" s="10"/>
      <c r="AJ23" s="66" t="s">
        <v>5</v>
      </c>
      <c r="AK23" s="66">
        <f>3987.64</f>
        <v>3987.64</v>
      </c>
      <c r="AL23" s="13">
        <v>12079000</v>
      </c>
      <c r="AM23" s="2">
        <v>5203.3100000000004</v>
      </c>
      <c r="AN23" s="91">
        <f>AL23*AJ$36</f>
        <v>588368.09000000008</v>
      </c>
      <c r="AO23" s="91">
        <f>AL23*AM23*AJ$35</f>
        <v>22681.398438583241</v>
      </c>
      <c r="AP23" s="91">
        <f>SUM(AN23:AO23)*0.000000001</f>
        <v>6.1104948843858332E-4</v>
      </c>
      <c r="AQ23" s="91">
        <f>AL23*AJ$37*0.000000001</f>
        <v>1.819511889911269E-3</v>
      </c>
      <c r="AR23" s="67"/>
      <c r="AS23" s="67"/>
      <c r="AU23" s="66" t="s">
        <v>16</v>
      </c>
      <c r="AV23" s="66">
        <v>38629.629999999997</v>
      </c>
      <c r="AW23" s="67">
        <v>904198000</v>
      </c>
      <c r="AX23" s="66">
        <v>4900.57</v>
      </c>
      <c r="AY23" s="91">
        <f t="shared" si="104"/>
        <v>44043484.580000006</v>
      </c>
      <c r="AZ23" s="91">
        <f t="shared" si="105"/>
        <v>1599076.6616500106</v>
      </c>
      <c r="BA23" s="91">
        <f t="shared" si="106"/>
        <v>4.5642561241650018E-2</v>
      </c>
      <c r="BB23" s="91">
        <f t="shared" si="107"/>
        <v>5.4146112442550652E-2</v>
      </c>
      <c r="BE23" s="66" t="s">
        <v>42</v>
      </c>
      <c r="BG23" s="66" t="s">
        <v>1</v>
      </c>
      <c r="BH23" s="66">
        <f>BH22-(AV33+AK21)</f>
        <v>999873.30000000121</v>
      </c>
      <c r="BI23" s="67">
        <f>BI22-(AW33+AL21)</f>
        <v>23597456766.259991</v>
      </c>
      <c r="BJ23" s="2">
        <v>38.352499999999999</v>
      </c>
      <c r="BK23" s="91">
        <f t="shared" ref="BK23:BK25" si="116">BI23*BG$38</f>
        <v>1149432119.0845242</v>
      </c>
      <c r="BL23" s="91">
        <f t="shared" ref="BL23:BL25" si="117">BI23*BJ23*BG$37</f>
        <v>326601.38597064134</v>
      </c>
      <c r="BM23" s="91">
        <f t="shared" ref="BM23:BM25" si="118">SUM(BK23:BL23)*0.000000001</f>
        <v>1.1497587204704949</v>
      </c>
      <c r="BN23" s="91">
        <f t="shared" ref="BN23:BN25" si="119">BI23*BG$39*0.000000001</f>
        <v>1.5648176821964439</v>
      </c>
      <c r="BO23" s="67">
        <f>BN23-BM23</f>
        <v>0.41505896172594903</v>
      </c>
      <c r="BP23" s="10"/>
      <c r="BR23" s="66" t="s">
        <v>5</v>
      </c>
      <c r="BS23" s="66">
        <f>3987.64</f>
        <v>3987.64</v>
      </c>
      <c r="BT23" s="13">
        <v>12079000</v>
      </c>
      <c r="BU23" s="2">
        <v>5203.3100000000004</v>
      </c>
      <c r="BV23" s="91">
        <f>BT23*BR$36</f>
        <v>588368.09000000008</v>
      </c>
      <c r="BW23" s="91">
        <f>BT23*BU23*BR$35</f>
        <v>22681.398438583241</v>
      </c>
      <c r="BX23" s="91">
        <f>SUM(BV23:BW23)*0.000000001</f>
        <v>6.1104948843858332E-4</v>
      </c>
      <c r="BY23" s="91">
        <f>BT23*BR$37*0.000000001</f>
        <v>2.3365005304681595E-3</v>
      </c>
      <c r="BZ23" s="67"/>
      <c r="CA23" s="67"/>
      <c r="CC23" s="66" t="s">
        <v>16</v>
      </c>
      <c r="CD23" s="66">
        <v>38629.629999999997</v>
      </c>
      <c r="CE23" s="67">
        <v>904198000</v>
      </c>
      <c r="CF23" s="66">
        <v>4900.57</v>
      </c>
      <c r="CG23" s="91">
        <f t="shared" si="108"/>
        <v>44043484.580000006</v>
      </c>
      <c r="CH23" s="91">
        <f t="shared" si="109"/>
        <v>1599076.6616500106</v>
      </c>
      <c r="CI23" s="91">
        <f t="shared" si="110"/>
        <v>4.5642561241650018E-2</v>
      </c>
      <c r="CJ23" s="91">
        <f t="shared" si="111"/>
        <v>8.9881008836005249E-2</v>
      </c>
      <c r="CM23" s="66" t="s">
        <v>42</v>
      </c>
      <c r="CO23" s="66" t="s">
        <v>1</v>
      </c>
      <c r="CP23" s="66">
        <f>CP22-(CD33+BS21)</f>
        <v>999873.30000000121</v>
      </c>
      <c r="CQ23" s="67">
        <f>CQ22-(CE33+BT21)</f>
        <v>23597456766.259991</v>
      </c>
      <c r="CR23" s="2">
        <v>38.352499999999999</v>
      </c>
      <c r="CS23" s="91">
        <f t="shared" ref="CS23:CS25" si="120">CQ23*CO$38</f>
        <v>1149432119.0845242</v>
      </c>
      <c r="CT23" s="91">
        <f t="shared" ref="CT23:CT25" si="121">CQ23*CR23*CO$37</f>
        <v>326601.38597064134</v>
      </c>
      <c r="CU23" s="91">
        <f t="shared" ref="CU23:CU25" si="122">SUM(CS23:CT23)*0.000000001</f>
        <v>1.1497587204704949</v>
      </c>
      <c r="CV23" s="91">
        <f t="shared" ref="CV23:CV25" si="123">CQ23*CO$39*0.000000001</f>
        <v>2.5231338843265303</v>
      </c>
      <c r="CW23" s="67">
        <f>CV23-CU23</f>
        <v>1.3733751638560354</v>
      </c>
    </row>
    <row r="24" spans="1:101" ht="15" thickBot="1" x14ac:dyDescent="0.4">
      <c r="B24" s="1" t="s">
        <v>27</v>
      </c>
      <c r="D24" s="67"/>
      <c r="F24" s="67">
        <f t="shared" ref="F24:G24" si="124">SUM(F22:F23)</f>
        <v>199176602.59</v>
      </c>
      <c r="G24" s="67">
        <f t="shared" si="124"/>
        <v>2257801.7166512609</v>
      </c>
      <c r="H24" s="67">
        <f>SUM(H22:H23)</f>
        <v>0.20143440430665127</v>
      </c>
      <c r="I24" s="67">
        <f>SUM(I22:I23)</f>
        <v>0.69094476718045139</v>
      </c>
      <c r="J24" s="67">
        <f>I24-H24</f>
        <v>0.48951036287380012</v>
      </c>
      <c r="K24" s="67"/>
      <c r="M24" s="66" t="s">
        <v>19</v>
      </c>
      <c r="N24" s="66">
        <v>6122.62</v>
      </c>
      <c r="O24" s="67">
        <v>115150000</v>
      </c>
      <c r="P24" s="66">
        <v>13389.8</v>
      </c>
      <c r="Q24" s="67">
        <f t="shared" si="112"/>
        <v>5608956.5</v>
      </c>
      <c r="R24" s="67">
        <f t="shared" si="113"/>
        <v>556412.88449809304</v>
      </c>
      <c r="S24" s="67">
        <f t="shared" si="102"/>
        <v>6.1653693844980935E-3</v>
      </c>
      <c r="T24" s="67">
        <f t="shared" si="103"/>
        <v>8.7913365982222238E-3</v>
      </c>
      <c r="W24" s="66" t="s">
        <v>47</v>
      </c>
      <c r="Y24" s="66" t="s">
        <v>1</v>
      </c>
      <c r="Z24" s="66">
        <v>999873.30000000121</v>
      </c>
      <c r="AA24" s="15">
        <v>23597456766.259991</v>
      </c>
      <c r="AB24" s="2">
        <v>3240</v>
      </c>
      <c r="AC24" s="67">
        <f t="shared" ref="AC24:AC25" si="125">AA24*$Y$38</f>
        <v>1149432119.0845242</v>
      </c>
      <c r="AD24" s="67">
        <f t="shared" ref="AD24:AD25" si="126">AA24*AB24*$Y$37</f>
        <v>27591121.583857063</v>
      </c>
      <c r="AE24" s="67">
        <f t="shared" si="114"/>
        <v>1.1770232406683814</v>
      </c>
      <c r="AF24" s="67">
        <f t="shared" si="115"/>
        <v>1.968482839192522</v>
      </c>
      <c r="AG24" s="67">
        <f t="shared" ref="AG24:AG25" si="127">AF24-AE24</f>
        <v>0.79145959852414061</v>
      </c>
      <c r="AH24" s="10"/>
      <c r="AJ24" s="1" t="s">
        <v>27</v>
      </c>
      <c r="AL24" s="67"/>
      <c r="AN24" s="67">
        <f t="shared" ref="AN24:AO24" si="128">SUM(AN22:AN23)</f>
        <v>199176602.59</v>
      </c>
      <c r="AO24" s="67">
        <f t="shared" si="128"/>
        <v>2257801.7166512609</v>
      </c>
      <c r="AP24" s="67">
        <f>SUM(AP22:AP23)</f>
        <v>0.20143440430665127</v>
      </c>
      <c r="AQ24" s="67">
        <f>SUM(AQ22:AQ23)</f>
        <v>0.61594808210050389</v>
      </c>
      <c r="AR24" s="67">
        <f>AQ24-AP24</f>
        <v>0.41451367779385262</v>
      </c>
      <c r="AS24" s="67"/>
      <c r="AU24" s="66" t="s">
        <v>19</v>
      </c>
      <c r="AV24" s="66">
        <v>6122.62</v>
      </c>
      <c r="AW24" s="67">
        <v>115150000</v>
      </c>
      <c r="AX24" s="66">
        <v>13389.8</v>
      </c>
      <c r="AY24" s="91">
        <f t="shared" si="104"/>
        <v>5608956.5</v>
      </c>
      <c r="AZ24" s="91">
        <f t="shared" si="105"/>
        <v>556412.88449809304</v>
      </c>
      <c r="BA24" s="91">
        <f t="shared" si="106"/>
        <v>6.1653693844980935E-3</v>
      </c>
      <c r="BB24" s="91">
        <f t="shared" si="107"/>
        <v>6.8955304565589699E-3</v>
      </c>
      <c r="BE24" s="66" t="s">
        <v>47</v>
      </c>
      <c r="BG24" s="66" t="s">
        <v>1</v>
      </c>
      <c r="BH24" s="66">
        <v>999873.30000000121</v>
      </c>
      <c r="BI24" s="15">
        <v>23597456766.259991</v>
      </c>
      <c r="BJ24" s="2">
        <v>3240</v>
      </c>
      <c r="BK24" s="91">
        <f t="shared" si="116"/>
        <v>1149432119.0845242</v>
      </c>
      <c r="BL24" s="91">
        <f t="shared" si="117"/>
        <v>27591121.583857063</v>
      </c>
      <c r="BM24" s="91">
        <f t="shared" si="118"/>
        <v>1.1770232406683814</v>
      </c>
      <c r="BN24" s="91">
        <f t="shared" si="119"/>
        <v>1.5648176821964439</v>
      </c>
      <c r="BO24" s="67">
        <f t="shared" ref="BO24:BO25" si="129">BN24-BM24</f>
        <v>0.38779444152806253</v>
      </c>
      <c r="BP24" s="10"/>
      <c r="BR24" s="1" t="s">
        <v>27</v>
      </c>
      <c r="BT24" s="67"/>
      <c r="BV24" s="67">
        <f t="shared" ref="BV24:BW24" si="130">SUM(BV22:BV23)</f>
        <v>199176602.59</v>
      </c>
      <c r="BW24" s="67">
        <f t="shared" si="130"/>
        <v>2257801.7166512609</v>
      </c>
      <c r="BX24" s="67">
        <f>SUM(BX22:BX23)</f>
        <v>0.20143440430665127</v>
      </c>
      <c r="BY24" s="67">
        <f>SUM(BY22:BY23)</f>
        <v>0.79096104210610885</v>
      </c>
      <c r="BZ24" s="67">
        <f>BY24-BX24</f>
        <v>0.58952663779945758</v>
      </c>
      <c r="CA24" s="67"/>
      <c r="CC24" s="66" t="s">
        <v>19</v>
      </c>
      <c r="CD24" s="66">
        <v>6122.62</v>
      </c>
      <c r="CE24" s="67">
        <v>115150000</v>
      </c>
      <c r="CF24" s="66">
        <v>13389.8</v>
      </c>
      <c r="CG24" s="91">
        <f t="shared" si="108"/>
        <v>5608956.5</v>
      </c>
      <c r="CH24" s="91">
        <f t="shared" si="109"/>
        <v>556412.88449809304</v>
      </c>
      <c r="CI24" s="91">
        <f t="shared" si="110"/>
        <v>6.1653693844980935E-3</v>
      </c>
      <c r="CJ24" s="91">
        <f t="shared" si="111"/>
        <v>1.1446384716031228E-2</v>
      </c>
      <c r="CM24" s="66" t="s">
        <v>47</v>
      </c>
      <c r="CO24" s="66" t="s">
        <v>1</v>
      </c>
      <c r="CP24" s="66">
        <v>999873.30000000121</v>
      </c>
      <c r="CQ24" s="15">
        <v>23597456766.259991</v>
      </c>
      <c r="CR24" s="2">
        <v>3240</v>
      </c>
      <c r="CS24" s="91">
        <f t="shared" si="120"/>
        <v>1149432119.0845242</v>
      </c>
      <c r="CT24" s="91">
        <f t="shared" si="121"/>
        <v>27591121.583857063</v>
      </c>
      <c r="CU24" s="91">
        <f t="shared" si="122"/>
        <v>1.1770232406683814</v>
      </c>
      <c r="CV24" s="91">
        <f t="shared" si="123"/>
        <v>2.5231338843265303</v>
      </c>
      <c r="CW24" s="67">
        <f t="shared" ref="CW24:CW25" si="131">CV24-CU24</f>
        <v>1.3461106436581489</v>
      </c>
    </row>
    <row r="25" spans="1:101" ht="15" thickBot="1" x14ac:dyDescent="0.4">
      <c r="A25" s="66">
        <v>2019</v>
      </c>
      <c r="B25" s="66" t="s">
        <v>3</v>
      </c>
      <c r="C25" s="66">
        <f>236543.02</f>
        <v>236543.02</v>
      </c>
      <c r="D25" s="14">
        <v>5168340000</v>
      </c>
      <c r="E25" s="4"/>
      <c r="M25" s="66" t="s">
        <v>20</v>
      </c>
      <c r="N25" s="66">
        <v>1522.14</v>
      </c>
      <c r="O25" s="67">
        <v>38216900</v>
      </c>
      <c r="P25" s="66">
        <v>13090.6</v>
      </c>
      <c r="Q25" s="67">
        <f t="shared" si="112"/>
        <v>1861545.199</v>
      </c>
      <c r="R25" s="67">
        <f t="shared" si="113"/>
        <v>180540.29771329515</v>
      </c>
      <c r="S25" s="67">
        <f t="shared" si="102"/>
        <v>2.0420854967132954E-3</v>
      </c>
      <c r="T25" s="67">
        <f t="shared" si="103"/>
        <v>2.9177388766009459E-3</v>
      </c>
      <c r="W25" s="66" t="s">
        <v>43</v>
      </c>
      <c r="Y25" s="66" t="s">
        <v>1</v>
      </c>
      <c r="Z25" s="66">
        <v>999873.30000000121</v>
      </c>
      <c r="AA25" s="66">
        <v>23597456766.259991</v>
      </c>
      <c r="AB25" s="66">
        <v>19095.3</v>
      </c>
      <c r="AC25" s="67">
        <f t="shared" si="125"/>
        <v>1149432119.0845242</v>
      </c>
      <c r="AD25" s="67">
        <f t="shared" si="126"/>
        <v>162611340.73463756</v>
      </c>
      <c r="AE25" s="67">
        <f t="shared" si="114"/>
        <v>1.3120434598191617</v>
      </c>
      <c r="AF25" s="67">
        <f t="shared" si="115"/>
        <v>1.968482839192522</v>
      </c>
      <c r="AG25" s="67">
        <f t="shared" si="127"/>
        <v>0.65643937937336028</v>
      </c>
      <c r="AH25" s="10"/>
      <c r="AI25" s="66">
        <v>2019</v>
      </c>
      <c r="AJ25" s="66" t="s">
        <v>3</v>
      </c>
      <c r="AK25" s="66">
        <f>236543.02</f>
        <v>236543.02</v>
      </c>
      <c r="AL25" s="14">
        <v>5168340000</v>
      </c>
      <c r="AM25" s="4"/>
      <c r="AU25" s="66" t="s">
        <v>20</v>
      </c>
      <c r="AV25" s="66">
        <v>1522.14</v>
      </c>
      <c r="AW25" s="67">
        <v>38216900</v>
      </c>
      <c r="AX25" s="66">
        <v>13090.6</v>
      </c>
      <c r="AY25" s="91">
        <f t="shared" si="104"/>
        <v>1861545.199</v>
      </c>
      <c r="AZ25" s="91">
        <f t="shared" si="105"/>
        <v>180540.29771329515</v>
      </c>
      <c r="BA25" s="91">
        <f t="shared" si="106"/>
        <v>2.0420854967132954E-3</v>
      </c>
      <c r="BB25" s="91">
        <f t="shared" si="107"/>
        <v>2.2885436205407599E-3</v>
      </c>
      <c r="BE25" s="66" t="s">
        <v>43</v>
      </c>
      <c r="BG25" s="66" t="s">
        <v>1</v>
      </c>
      <c r="BH25" s="66">
        <v>999873.30000000121</v>
      </c>
      <c r="BI25" s="66">
        <v>23597456766.259991</v>
      </c>
      <c r="BJ25" s="66">
        <v>19095.3</v>
      </c>
      <c r="BK25" s="91">
        <f t="shared" si="116"/>
        <v>1149432119.0845242</v>
      </c>
      <c r="BL25" s="91">
        <f t="shared" si="117"/>
        <v>162611340.73463756</v>
      </c>
      <c r="BM25" s="91">
        <f t="shared" si="118"/>
        <v>1.3120434598191617</v>
      </c>
      <c r="BN25" s="91">
        <f t="shared" si="119"/>
        <v>1.5648176821964439</v>
      </c>
      <c r="BO25" s="67">
        <f t="shared" si="129"/>
        <v>0.2527742223772822</v>
      </c>
      <c r="BP25" s="10"/>
      <c r="BQ25" s="66">
        <v>2019</v>
      </c>
      <c r="BR25" s="66" t="s">
        <v>3</v>
      </c>
      <c r="BS25" s="66">
        <f>236543.02</f>
        <v>236543.02</v>
      </c>
      <c r="BT25" s="14">
        <v>5168340000</v>
      </c>
      <c r="BU25" s="4"/>
      <c r="CC25" s="66" t="s">
        <v>20</v>
      </c>
      <c r="CD25" s="66">
        <v>1522.14</v>
      </c>
      <c r="CE25" s="67">
        <v>38216900</v>
      </c>
      <c r="CF25" s="66">
        <v>13090.6</v>
      </c>
      <c r="CG25" s="91">
        <f t="shared" si="108"/>
        <v>1861545.199</v>
      </c>
      <c r="CH25" s="91">
        <f t="shared" si="109"/>
        <v>180540.29771329515</v>
      </c>
      <c r="CI25" s="91">
        <f t="shared" si="110"/>
        <v>2.0420854967132954E-3</v>
      </c>
      <c r="CJ25" s="91">
        <f t="shared" si="111"/>
        <v>3.7989174125409799E-3</v>
      </c>
      <c r="CM25" s="66" t="s">
        <v>43</v>
      </c>
      <c r="CO25" s="66" t="s">
        <v>1</v>
      </c>
      <c r="CP25" s="66">
        <v>999873.30000000121</v>
      </c>
      <c r="CQ25" s="66">
        <v>23597456766.259991</v>
      </c>
      <c r="CR25" s="66">
        <v>19095.3</v>
      </c>
      <c r="CS25" s="91">
        <f t="shared" si="120"/>
        <v>1149432119.0845242</v>
      </c>
      <c r="CT25" s="91">
        <f t="shared" si="121"/>
        <v>162611340.73463756</v>
      </c>
      <c r="CU25" s="91">
        <f t="shared" si="122"/>
        <v>1.3120434598191617</v>
      </c>
      <c r="CV25" s="91">
        <f t="shared" si="123"/>
        <v>2.5231338843265303</v>
      </c>
      <c r="CW25" s="67">
        <f t="shared" si="131"/>
        <v>1.2110904245073686</v>
      </c>
    </row>
    <row r="26" spans="1:101" x14ac:dyDescent="0.35">
      <c r="B26" s="66" t="s">
        <v>4</v>
      </c>
      <c r="C26" s="66">
        <f>231713.16</f>
        <v>231713.16</v>
      </c>
      <c r="D26" s="13">
        <v>5152700000</v>
      </c>
      <c r="E26" s="66">
        <v>1519.17</v>
      </c>
      <c r="F26" s="67">
        <f>D26*$B$36</f>
        <v>250988017.00000003</v>
      </c>
      <c r="G26" s="67">
        <f>D26*E26*$B$35</f>
        <v>2824882.4399746046</v>
      </c>
      <c r="H26" s="67">
        <f>SUM(F26:G26)*0.000000001</f>
        <v>0.25381289943997465</v>
      </c>
      <c r="I26" s="67">
        <f>D26*$B$37*0.000000001</f>
        <v>0.87067885844064985</v>
      </c>
      <c r="J26" s="67"/>
      <c r="K26" s="67"/>
      <c r="M26" s="1" t="s">
        <v>27</v>
      </c>
      <c r="Q26" s="67">
        <f>SUM(Q21:Q25)</f>
        <v>185977454.17900002</v>
      </c>
      <c r="R26" s="67">
        <f t="shared" ref="R26:T26" si="132">SUM(R21:R25)</f>
        <v>9668948.5041872058</v>
      </c>
      <c r="S26" s="67">
        <f t="shared" si="132"/>
        <v>0.19564640268318725</v>
      </c>
      <c r="T26" s="67">
        <f t="shared" si="132"/>
        <v>0.2914963593260243</v>
      </c>
      <c r="U26" s="67">
        <f>T26-S26</f>
        <v>9.5849956642837048E-2</v>
      </c>
      <c r="V26" s="67"/>
      <c r="X26" s="66">
        <v>2019</v>
      </c>
      <c r="Y26" s="66" t="s">
        <v>24</v>
      </c>
      <c r="Z26" s="66">
        <v>1485024.6500000008</v>
      </c>
      <c r="AA26" s="67">
        <v>34587127556.550003</v>
      </c>
      <c r="AJ26" s="66" t="s">
        <v>4</v>
      </c>
      <c r="AK26" s="66">
        <f>231713.16</f>
        <v>231713.16</v>
      </c>
      <c r="AL26" s="13">
        <v>5152700000</v>
      </c>
      <c r="AM26" s="66">
        <v>1519.17</v>
      </c>
      <c r="AN26" s="91">
        <f>AL26*AJ$36</f>
        <v>250988017.00000003</v>
      </c>
      <c r="AO26" s="91">
        <f>AL26*AM26*AJ$35</f>
        <v>2824882.4399746046</v>
      </c>
      <c r="AP26" s="91">
        <f>SUM(AN26:AO26)*0.000000001</f>
        <v>0.25381289943997465</v>
      </c>
      <c r="AQ26" s="91">
        <f>AL26*AJ$37*0.000000001</f>
        <v>0.77617343448512266</v>
      </c>
      <c r="AR26" s="67"/>
      <c r="AS26" s="67"/>
      <c r="AU26" s="1" t="s">
        <v>27</v>
      </c>
      <c r="AY26" s="67">
        <f>SUM(AY21:AY25)</f>
        <v>185977454.17900002</v>
      </c>
      <c r="AZ26" s="67">
        <f t="shared" ref="AZ26:BB26" si="133">SUM(AZ21:AZ25)</f>
        <v>9668948.5041872058</v>
      </c>
      <c r="BA26" s="67">
        <f t="shared" si="133"/>
        <v>0.19564640268318725</v>
      </c>
      <c r="BB26" s="67">
        <f t="shared" si="133"/>
        <v>0.22863668126586378</v>
      </c>
      <c r="BC26" s="67">
        <f>BB26-BA26</f>
        <v>3.299027858267653E-2</v>
      </c>
      <c r="BD26" s="67"/>
      <c r="BF26" s="66">
        <v>2019</v>
      </c>
      <c r="BG26" s="66" t="s">
        <v>24</v>
      </c>
      <c r="BH26" s="66">
        <v>1485024.6500000008</v>
      </c>
      <c r="BI26" s="67">
        <v>34587127556.550003</v>
      </c>
      <c r="BR26" s="66" t="s">
        <v>4</v>
      </c>
      <c r="BS26" s="66">
        <f>231713.16</f>
        <v>231713.16</v>
      </c>
      <c r="BT26" s="13">
        <v>5152700000</v>
      </c>
      <c r="BU26" s="66">
        <v>1519.17</v>
      </c>
      <c r="BV26" s="91">
        <f>BT26*BR$36</f>
        <v>250988017.00000003</v>
      </c>
      <c r="BW26" s="91">
        <f>BT26*BU26*BR$35</f>
        <v>2824882.4399746046</v>
      </c>
      <c r="BX26" s="91">
        <f>SUM(BV26:BW26)*0.000000001</f>
        <v>0.25381289943997465</v>
      </c>
      <c r="BY26" s="91">
        <f>BT26*BR$37*0.000000001</f>
        <v>0.99671216850263145</v>
      </c>
      <c r="BZ26" s="67"/>
      <c r="CA26" s="67"/>
      <c r="CC26" s="1" t="s">
        <v>27</v>
      </c>
      <c r="CG26" s="67">
        <f>SUM(CG21:CG25)</f>
        <v>185977454.17900002</v>
      </c>
      <c r="CH26" s="67">
        <f t="shared" ref="CH26:CJ26" si="134">SUM(CH21:CH25)</f>
        <v>9668948.5041872058</v>
      </c>
      <c r="CI26" s="67">
        <f t="shared" si="134"/>
        <v>0.19564640268318725</v>
      </c>
      <c r="CJ26" s="67">
        <f t="shared" si="134"/>
        <v>0.37953039732807758</v>
      </c>
      <c r="CK26" s="67">
        <f>CJ26-CI26</f>
        <v>0.18388399464489033</v>
      </c>
      <c r="CL26" s="67"/>
      <c r="CN26" s="66">
        <v>2019</v>
      </c>
      <c r="CO26" s="66" t="s">
        <v>24</v>
      </c>
      <c r="CP26" s="66">
        <v>1485024.6500000008</v>
      </c>
      <c r="CQ26" s="67">
        <v>34587127556.550003</v>
      </c>
    </row>
    <row r="27" spans="1:101" x14ac:dyDescent="0.35">
      <c r="B27" s="66" t="s">
        <v>5</v>
      </c>
      <c r="C27" s="66">
        <f>2558.59</f>
        <v>2558.59</v>
      </c>
      <c r="D27" s="13">
        <v>7620790</v>
      </c>
      <c r="E27" s="2">
        <v>5203.3100000000004</v>
      </c>
      <c r="F27" s="67">
        <f>D27*$B$36</f>
        <v>371208.68090000004</v>
      </c>
      <c r="G27" s="67">
        <f>D27*E27*$B$35</f>
        <v>14309.973872569812</v>
      </c>
      <c r="H27" s="67">
        <f>SUM(F27:G27)*0.000000001</f>
        <v>3.8551865477256988E-4</v>
      </c>
      <c r="I27" s="67">
        <f>D27*$B$37*0.000000001</f>
        <v>1.2877250252519882E-3</v>
      </c>
      <c r="J27" s="67"/>
      <c r="K27" s="67"/>
      <c r="L27" s="66">
        <v>2021</v>
      </c>
      <c r="M27" s="66" t="s">
        <v>22</v>
      </c>
      <c r="N27" s="66">
        <v>170860.49</v>
      </c>
      <c r="O27" s="67">
        <v>3454720000</v>
      </c>
      <c r="W27" s="66" t="s">
        <v>42</v>
      </c>
      <c r="Y27" s="66" t="s">
        <v>1</v>
      </c>
      <c r="Z27" s="66">
        <f>Z26-(N38+C25)</f>
        <v>1147760.8400000008</v>
      </c>
      <c r="AA27" s="67">
        <f>AA26-(O38+D25)</f>
        <v>27261617556.550003</v>
      </c>
      <c r="AB27" s="2">
        <v>38.352499999999999</v>
      </c>
      <c r="AC27" s="67">
        <f>AA27*$Y$38</f>
        <v>1327913391.1795506</v>
      </c>
      <c r="AD27" s="67">
        <f>AA27*AB27*$Y$37</f>
        <v>377315.32537444553</v>
      </c>
      <c r="AE27" s="67">
        <f t="shared" ref="AE27:AE29" si="135">SUM(AC27:AD27)*0.000000001</f>
        <v>1.3282907065049252</v>
      </c>
      <c r="AF27" s="67">
        <f t="shared" ref="AF27:AF29" si="136">AA27*$Y$39*0.000000001</f>
        <v>2.2741444919364326</v>
      </c>
      <c r="AG27" s="67">
        <f>AF27-AE27</f>
        <v>0.94585378543150744</v>
      </c>
      <c r="AH27" s="10"/>
      <c r="AJ27" s="66" t="s">
        <v>5</v>
      </c>
      <c r="AK27" s="66">
        <f>2558.59</f>
        <v>2558.59</v>
      </c>
      <c r="AL27" s="13">
        <v>7620790</v>
      </c>
      <c r="AM27" s="2">
        <v>5203.3100000000004</v>
      </c>
      <c r="AN27" s="91">
        <f>AL27*AJ$36</f>
        <v>371208.68090000004</v>
      </c>
      <c r="AO27" s="91">
        <f>AL27*AM27*AJ$35</f>
        <v>14309.973872569812</v>
      </c>
      <c r="AP27" s="91">
        <f>SUM(AN27:AO27)*0.000000001</f>
        <v>3.8551865477256988E-4</v>
      </c>
      <c r="AQ27" s="91">
        <f>AL27*AJ$37*0.000000001</f>
        <v>1.147952480794511E-3</v>
      </c>
      <c r="AR27" s="67"/>
      <c r="AS27" s="67"/>
      <c r="AT27" s="66">
        <v>2021</v>
      </c>
      <c r="AU27" s="66" t="s">
        <v>22</v>
      </c>
      <c r="AV27" s="66">
        <v>170860.49</v>
      </c>
      <c r="AW27" s="67">
        <v>3454720000</v>
      </c>
      <c r="BE27" s="66" t="s">
        <v>42</v>
      </c>
      <c r="BG27" s="66" t="s">
        <v>1</v>
      </c>
      <c r="BH27" s="66">
        <f>BH26-(AV38+AK25)</f>
        <v>1147760.8400000008</v>
      </c>
      <c r="BI27" s="67">
        <f>BI26-(AW38+AL25)</f>
        <v>27261617556.550003</v>
      </c>
      <c r="BJ27" s="2">
        <v>38.352499999999999</v>
      </c>
      <c r="BK27" s="91">
        <f t="shared" ref="BK27:BK29" si="137">BI27*BG$38</f>
        <v>1327913391.1795506</v>
      </c>
      <c r="BL27" s="91">
        <f t="shared" ref="BL27:BL29" si="138">BI27*BJ27*BG$37</f>
        <v>377315.32537444553</v>
      </c>
      <c r="BM27" s="91">
        <f t="shared" ref="BM27:BM29" si="139">SUM(BK27:BL27)*0.000000001</f>
        <v>1.3282907065049252</v>
      </c>
      <c r="BN27" s="91">
        <f t="shared" ref="BN27:BN29" si="140">BI27*BG$39*0.000000001</f>
        <v>1.8077991039594408</v>
      </c>
      <c r="BO27" s="67">
        <f>BN27-BM27</f>
        <v>0.47950839745451557</v>
      </c>
      <c r="BP27" s="10"/>
      <c r="BR27" s="66" t="s">
        <v>5</v>
      </c>
      <c r="BS27" s="66">
        <f>2558.59</f>
        <v>2558.59</v>
      </c>
      <c r="BT27" s="13">
        <v>7620790</v>
      </c>
      <c r="BU27" s="2">
        <v>5203.3100000000004</v>
      </c>
      <c r="BV27" s="91">
        <f>BT27*BR$36</f>
        <v>371208.68090000004</v>
      </c>
      <c r="BW27" s="91">
        <f>BT27*BU27*BR$35</f>
        <v>14309.973872569812</v>
      </c>
      <c r="BX27" s="91">
        <f>SUM(BV27:BW27)*0.000000001</f>
        <v>3.8551865477256988E-4</v>
      </c>
      <c r="BY27" s="91">
        <f>BT27*BR$37*0.000000001</f>
        <v>1.4741269871335744E-3</v>
      </c>
      <c r="BZ27" s="67"/>
      <c r="CA27" s="67"/>
      <c r="CB27" s="66">
        <v>2021</v>
      </c>
      <c r="CC27" s="66" t="s">
        <v>22</v>
      </c>
      <c r="CD27" s="66">
        <v>170860.49</v>
      </c>
      <c r="CE27" s="67">
        <v>3454720000</v>
      </c>
      <c r="CM27" s="66" t="s">
        <v>42</v>
      </c>
      <c r="CO27" s="66" t="s">
        <v>1</v>
      </c>
      <c r="CP27" s="66">
        <f>CP26-(CD38+BS25)</f>
        <v>1147760.8400000008</v>
      </c>
      <c r="CQ27" s="67">
        <f>CQ26-(CE38+BT25)</f>
        <v>27261617556.550003</v>
      </c>
      <c r="CR27" s="2">
        <v>38.352499999999999</v>
      </c>
      <c r="CS27" s="91">
        <f t="shared" ref="CS27:CS29" si="141">CQ27*CO$38</f>
        <v>1327913391.1795506</v>
      </c>
      <c r="CT27" s="91">
        <f t="shared" ref="CT27:CT29" si="142">CQ27*CR27*CO$37</f>
        <v>377315.32537444553</v>
      </c>
      <c r="CU27" s="91">
        <f t="shared" ref="CU27:CU29" si="143">SUM(CS27:CT27)*0.000000001</f>
        <v>1.3282907065049252</v>
      </c>
      <c r="CV27" s="91">
        <f t="shared" ref="CV27:CV29" si="144">CQ27*CO$39*0.000000001</f>
        <v>2.9149205221484622</v>
      </c>
      <c r="CW27" s="67">
        <f>CV27-CU27</f>
        <v>1.586629815643537</v>
      </c>
    </row>
    <row r="28" spans="1:101" x14ac:dyDescent="0.35">
      <c r="B28" s="1" t="s">
        <v>27</v>
      </c>
      <c r="F28" s="67">
        <f t="shared" ref="F28:G28" si="145">SUM(F26:F27)</f>
        <v>251359225.68090004</v>
      </c>
      <c r="G28" s="67">
        <f t="shared" si="145"/>
        <v>2839192.4138471745</v>
      </c>
      <c r="H28" s="67">
        <f>SUM(H26:H27)</f>
        <v>0.25419841809474719</v>
      </c>
      <c r="I28" s="67">
        <f>SUM(I26:I27)</f>
        <v>0.87196658346590183</v>
      </c>
      <c r="J28" s="67">
        <f>I28-H28</f>
        <v>0.61776816537115464</v>
      </c>
      <c r="K28" s="67"/>
      <c r="M28" s="66" t="s">
        <v>17</v>
      </c>
      <c r="N28" s="66">
        <v>69396.2</v>
      </c>
      <c r="O28" s="67">
        <v>1299080000</v>
      </c>
      <c r="P28" s="66">
        <v>10024.9</v>
      </c>
      <c r="Q28" s="67">
        <f>O28*$M$49</f>
        <v>63278186.800000004</v>
      </c>
      <c r="R28" s="67">
        <f>O28*P28*$M$48</f>
        <v>4699753.6246216157</v>
      </c>
      <c r="S28" s="67">
        <f t="shared" ref="S28:S31" si="146">SUM(Q28:R28)*0.000000001</f>
        <v>6.797794042462163E-2</v>
      </c>
      <c r="T28" s="67">
        <f t="shared" ref="T28:T31" si="147">O28*$M$50*0.000000001</f>
        <v>9.9180630030556036E-2</v>
      </c>
      <c r="W28" s="66" t="s">
        <v>47</v>
      </c>
      <c r="Y28" s="66" t="s">
        <v>1</v>
      </c>
      <c r="Z28" s="66">
        <v>1147760.8400000008</v>
      </c>
      <c r="AA28" s="67">
        <v>27261617556.550003</v>
      </c>
      <c r="AB28" s="2">
        <v>3240</v>
      </c>
      <c r="AC28" s="67">
        <f t="shared" ref="AC28:AC29" si="148">AA28*$Y$38</f>
        <v>1327913391.1795506</v>
      </c>
      <c r="AD28" s="67">
        <f t="shared" ref="AD28:AD29" si="149">AA28*AB28*$Y$37</f>
        <v>31875409.796315849</v>
      </c>
      <c r="AE28" s="67">
        <f t="shared" si="135"/>
        <v>1.3597888009758667</v>
      </c>
      <c r="AF28" s="67">
        <f t="shared" si="136"/>
        <v>2.2741444919364326</v>
      </c>
      <c r="AG28" s="67">
        <f t="shared" ref="AG28:AG29" si="150">AF28-AE28</f>
        <v>0.9143556909605659</v>
      </c>
      <c r="AH28" s="10"/>
      <c r="AJ28" s="1" t="s">
        <v>27</v>
      </c>
      <c r="AN28" s="67">
        <f t="shared" ref="AN28:AO28" si="151">SUM(AN26:AN27)</f>
        <v>251359225.68090004</v>
      </c>
      <c r="AO28" s="67">
        <f t="shared" si="151"/>
        <v>2839192.4138471745</v>
      </c>
      <c r="AP28" s="67">
        <f>SUM(AP26:AP27)</f>
        <v>0.25419841809474719</v>
      </c>
      <c r="AQ28" s="67">
        <f>SUM(AQ26:AQ27)</f>
        <v>0.77732138696591713</v>
      </c>
      <c r="AR28" s="67">
        <f>AQ28-AP28</f>
        <v>0.52312296887116994</v>
      </c>
      <c r="AS28" s="67"/>
      <c r="AU28" s="66" t="s">
        <v>17</v>
      </c>
      <c r="AV28" s="66">
        <v>69396.2</v>
      </c>
      <c r="AW28" s="67">
        <v>1299080000</v>
      </c>
      <c r="AX28" s="66">
        <v>10024.9</v>
      </c>
      <c r="AY28" s="91">
        <f t="shared" ref="AY28:AY31" si="152">AW28*AU$49</f>
        <v>63278186.800000004</v>
      </c>
      <c r="AZ28" s="91">
        <f t="shared" ref="AZ28:AZ31" si="153">AW28*AX28*AU$48</f>
        <v>4699753.6246216157</v>
      </c>
      <c r="BA28" s="91">
        <f t="shared" ref="BA28:BA31" si="154">SUM(AY28:AZ28)*0.000000001</f>
        <v>6.797794042462163E-2</v>
      </c>
      <c r="BB28" s="91">
        <f t="shared" ref="BB28:BB31" si="155">AW28*AU$50*0.000000001</f>
        <v>7.7792841558893849E-2</v>
      </c>
      <c r="BE28" s="66" t="s">
        <v>47</v>
      </c>
      <c r="BG28" s="66" t="s">
        <v>1</v>
      </c>
      <c r="BH28" s="66">
        <v>1147760.8400000008</v>
      </c>
      <c r="BI28" s="67">
        <v>27261617556.550003</v>
      </c>
      <c r="BJ28" s="2">
        <v>3240</v>
      </c>
      <c r="BK28" s="91">
        <f t="shared" si="137"/>
        <v>1327913391.1795506</v>
      </c>
      <c r="BL28" s="91">
        <f t="shared" si="138"/>
        <v>31875409.796315849</v>
      </c>
      <c r="BM28" s="91">
        <f t="shared" si="139"/>
        <v>1.3597888009758667</v>
      </c>
      <c r="BN28" s="91">
        <f t="shared" si="140"/>
        <v>1.8077991039594408</v>
      </c>
      <c r="BO28" s="67">
        <f t="shared" ref="BO28:BO29" si="156">BN28-BM28</f>
        <v>0.44801030298357403</v>
      </c>
      <c r="BP28" s="10"/>
      <c r="BR28" s="1" t="s">
        <v>27</v>
      </c>
      <c r="BV28" s="67">
        <f t="shared" ref="BV28:BW28" si="157">SUM(BV26:BV27)</f>
        <v>251359225.68090004</v>
      </c>
      <c r="BW28" s="67">
        <f t="shared" si="157"/>
        <v>2839192.4138471745</v>
      </c>
      <c r="BX28" s="67">
        <f>SUM(BX26:BX27)</f>
        <v>0.25419841809474719</v>
      </c>
      <c r="BY28" s="67">
        <f>SUM(BY26:BY27)</f>
        <v>0.99818629548976501</v>
      </c>
      <c r="BZ28" s="67">
        <f>BY28-BX28</f>
        <v>0.74398787739501782</v>
      </c>
      <c r="CA28" s="67"/>
      <c r="CC28" s="66" t="s">
        <v>17</v>
      </c>
      <c r="CD28" s="66">
        <v>69396.2</v>
      </c>
      <c r="CE28" s="67">
        <v>1299080000</v>
      </c>
      <c r="CF28" s="66">
        <v>10024.9</v>
      </c>
      <c r="CG28" s="91">
        <f t="shared" ref="CG28:CG31" si="158">CE28*CC$49</f>
        <v>63278186.800000004</v>
      </c>
      <c r="CH28" s="91">
        <f t="shared" ref="CH28:CH31" si="159">CE28*CF28*CC$48</f>
        <v>4699753.6246216157</v>
      </c>
      <c r="CI28" s="91">
        <f t="shared" ref="CI28:CI31" si="160">SUM(CG28:CH28)*0.000000001</f>
        <v>6.797794042462163E-2</v>
      </c>
      <c r="CJ28" s="91">
        <f t="shared" ref="CJ28:CJ31" si="161">CE28*CC$50*0.000000001</f>
        <v>0.12913390757187884</v>
      </c>
      <c r="CM28" s="66" t="s">
        <v>47</v>
      </c>
      <c r="CO28" s="66" t="s">
        <v>1</v>
      </c>
      <c r="CP28" s="66">
        <v>1147760.8400000008</v>
      </c>
      <c r="CQ28" s="67">
        <v>27261617556.550003</v>
      </c>
      <c r="CR28" s="2">
        <v>3240</v>
      </c>
      <c r="CS28" s="91">
        <f t="shared" si="141"/>
        <v>1327913391.1795506</v>
      </c>
      <c r="CT28" s="91">
        <f t="shared" si="142"/>
        <v>31875409.796315849</v>
      </c>
      <c r="CU28" s="91">
        <f t="shared" si="143"/>
        <v>1.3597888009758667</v>
      </c>
      <c r="CV28" s="91">
        <f t="shared" si="144"/>
        <v>2.9149205221484622</v>
      </c>
      <c r="CW28" s="67">
        <f t="shared" ref="CW28:CW29" si="162">CV28-CU28</f>
        <v>1.5551317211725955</v>
      </c>
    </row>
    <row r="29" spans="1:101" x14ac:dyDescent="0.35">
      <c r="D29" s="3"/>
      <c r="M29" s="66" t="s">
        <v>16</v>
      </c>
      <c r="N29" s="66">
        <v>53119.7</v>
      </c>
      <c r="O29" s="67">
        <v>1329750000</v>
      </c>
      <c r="P29" s="66">
        <v>4900.57</v>
      </c>
      <c r="Q29" s="67">
        <f t="shared" ref="Q29:Q31" si="163">O29*$M$49</f>
        <v>64772122.500000007</v>
      </c>
      <c r="R29" s="67">
        <f t="shared" ref="R29:R31" si="164">O29*P29*$M$48</f>
        <v>2351666.5496153515</v>
      </c>
      <c r="S29" s="67">
        <f t="shared" si="146"/>
        <v>6.7123789049615357E-2</v>
      </c>
      <c r="T29" s="67">
        <f t="shared" si="147"/>
        <v>0.10152218707326098</v>
      </c>
      <c r="W29" s="66" t="s">
        <v>43</v>
      </c>
      <c r="Y29" s="66" t="s">
        <v>1</v>
      </c>
      <c r="Z29" s="66">
        <v>1147760.8400000008</v>
      </c>
      <c r="AA29" s="67">
        <v>27261617556.550003</v>
      </c>
      <c r="AB29" s="66">
        <v>19095.3</v>
      </c>
      <c r="AC29" s="67">
        <f t="shared" si="148"/>
        <v>1327913391.1795506</v>
      </c>
      <c r="AD29" s="67">
        <f t="shared" si="149"/>
        <v>187861269.34678701</v>
      </c>
      <c r="AE29" s="67">
        <f t="shared" si="135"/>
        <v>1.5157746605263378</v>
      </c>
      <c r="AF29" s="67">
        <f t="shared" si="136"/>
        <v>2.2741444919364326</v>
      </c>
      <c r="AG29" s="67">
        <f t="shared" si="150"/>
        <v>0.75836983141009484</v>
      </c>
      <c r="AH29" s="10"/>
      <c r="AL29" s="3"/>
      <c r="AU29" s="66" t="s">
        <v>16</v>
      </c>
      <c r="AV29" s="66">
        <v>53119.7</v>
      </c>
      <c r="AW29" s="67">
        <v>1329750000</v>
      </c>
      <c r="AX29" s="66">
        <v>4900.57</v>
      </c>
      <c r="AY29" s="91">
        <f t="shared" si="152"/>
        <v>64772122.500000007</v>
      </c>
      <c r="AZ29" s="91">
        <f t="shared" si="153"/>
        <v>2351666.5496153515</v>
      </c>
      <c r="BA29" s="91">
        <f t="shared" si="154"/>
        <v>6.7123789049615357E-2</v>
      </c>
      <c r="BB29" s="91">
        <f t="shared" si="155"/>
        <v>7.9629453969685543E-2</v>
      </c>
      <c r="BE29" s="66" t="s">
        <v>43</v>
      </c>
      <c r="BG29" s="66" t="s">
        <v>1</v>
      </c>
      <c r="BH29" s="66">
        <v>1147760.8400000008</v>
      </c>
      <c r="BI29" s="67">
        <v>27261617556.550003</v>
      </c>
      <c r="BJ29" s="66">
        <v>19095.3</v>
      </c>
      <c r="BK29" s="91">
        <f t="shared" si="137"/>
        <v>1327913391.1795506</v>
      </c>
      <c r="BL29" s="91">
        <f t="shared" si="138"/>
        <v>187861269.34678701</v>
      </c>
      <c r="BM29" s="91">
        <f t="shared" si="139"/>
        <v>1.5157746605263378</v>
      </c>
      <c r="BN29" s="91">
        <f t="shared" si="140"/>
        <v>1.8077991039594408</v>
      </c>
      <c r="BO29" s="67">
        <f t="shared" si="156"/>
        <v>0.29202444343310296</v>
      </c>
      <c r="BP29" s="10"/>
      <c r="BT29" s="3"/>
      <c r="CC29" s="66" t="s">
        <v>16</v>
      </c>
      <c r="CD29" s="66">
        <v>53119.7</v>
      </c>
      <c r="CE29" s="67">
        <v>1329750000</v>
      </c>
      <c r="CF29" s="66">
        <v>4900.57</v>
      </c>
      <c r="CG29" s="91">
        <f t="shared" si="158"/>
        <v>64772122.500000007</v>
      </c>
      <c r="CH29" s="91">
        <f t="shared" si="159"/>
        <v>2351666.5496153515</v>
      </c>
      <c r="CI29" s="91">
        <f t="shared" si="160"/>
        <v>6.7123789049615357E-2</v>
      </c>
      <c r="CJ29" s="91">
        <f t="shared" si="161"/>
        <v>0.13218263201165892</v>
      </c>
      <c r="CM29" s="66" t="s">
        <v>43</v>
      </c>
      <c r="CO29" s="66" t="s">
        <v>1</v>
      </c>
      <c r="CP29" s="66">
        <v>1147760.8400000008</v>
      </c>
      <c r="CQ29" s="67">
        <v>27261617556.550003</v>
      </c>
      <c r="CR29" s="66">
        <v>19095.3</v>
      </c>
      <c r="CS29" s="91">
        <f t="shared" si="141"/>
        <v>1327913391.1795506</v>
      </c>
      <c r="CT29" s="91">
        <f t="shared" si="142"/>
        <v>187861269.34678701</v>
      </c>
      <c r="CU29" s="91">
        <f t="shared" si="143"/>
        <v>1.5157746605263378</v>
      </c>
      <c r="CV29" s="91">
        <f t="shared" si="144"/>
        <v>2.9149205221484622</v>
      </c>
      <c r="CW29" s="67">
        <f t="shared" si="162"/>
        <v>1.3991458616221244</v>
      </c>
    </row>
    <row r="30" spans="1:101" ht="16.5" x14ac:dyDescent="0.35">
      <c r="D30" s="3"/>
      <c r="E30" s="104" t="s">
        <v>49</v>
      </c>
      <c r="F30" s="1" t="s">
        <v>59</v>
      </c>
      <c r="G30" s="1" t="s">
        <v>60</v>
      </c>
      <c r="H30" s="1" t="s">
        <v>61</v>
      </c>
      <c r="I30" s="1" t="s">
        <v>61</v>
      </c>
      <c r="J30" s="19" t="s">
        <v>62</v>
      </c>
      <c r="M30" s="66" t="s">
        <v>18</v>
      </c>
      <c r="N30" s="66">
        <v>29785.43</v>
      </c>
      <c r="O30" s="67">
        <v>701646000</v>
      </c>
      <c r="P30" s="66">
        <v>4511.93</v>
      </c>
      <c r="Q30" s="67">
        <f t="shared" si="163"/>
        <v>34177176.660000004</v>
      </c>
      <c r="R30" s="67">
        <f t="shared" si="164"/>
        <v>1142456.1834475866</v>
      </c>
      <c r="S30" s="67">
        <f t="shared" si="146"/>
        <v>3.5319632843447593E-2</v>
      </c>
      <c r="T30" s="67">
        <f t="shared" si="147"/>
        <v>5.3568442542737571E-2</v>
      </c>
      <c r="AL30" s="3"/>
      <c r="AM30" s="104" t="s">
        <v>49</v>
      </c>
      <c r="AN30" s="1" t="s">
        <v>59</v>
      </c>
      <c r="AO30" s="1" t="s">
        <v>60</v>
      </c>
      <c r="AP30" s="1" t="s">
        <v>61</v>
      </c>
      <c r="AQ30" s="1" t="s">
        <v>61</v>
      </c>
      <c r="AR30" s="19" t="s">
        <v>62</v>
      </c>
      <c r="AU30" s="66" t="s">
        <v>18</v>
      </c>
      <c r="AV30" s="66">
        <v>29785.43</v>
      </c>
      <c r="AW30" s="67">
        <v>701646000</v>
      </c>
      <c r="AX30" s="66">
        <v>4511.93</v>
      </c>
      <c r="AY30" s="91">
        <f t="shared" si="152"/>
        <v>34177176.660000004</v>
      </c>
      <c r="AZ30" s="91">
        <f t="shared" si="153"/>
        <v>1142456.1834475866</v>
      </c>
      <c r="BA30" s="91">
        <f t="shared" si="154"/>
        <v>3.5319632843447593E-2</v>
      </c>
      <c r="BB30" s="91">
        <f t="shared" si="155"/>
        <v>4.201668573793118E-2</v>
      </c>
      <c r="BT30" s="3"/>
      <c r="BU30" s="104" t="s">
        <v>49</v>
      </c>
      <c r="BV30" s="1" t="s">
        <v>59</v>
      </c>
      <c r="BW30" s="1" t="s">
        <v>60</v>
      </c>
      <c r="BX30" s="1" t="s">
        <v>61</v>
      </c>
      <c r="BY30" s="1" t="s">
        <v>61</v>
      </c>
      <c r="BZ30" s="19" t="s">
        <v>62</v>
      </c>
      <c r="CC30" s="66" t="s">
        <v>18</v>
      </c>
      <c r="CD30" s="66">
        <v>29785.43</v>
      </c>
      <c r="CE30" s="67">
        <v>701646000</v>
      </c>
      <c r="CF30" s="66">
        <v>4511.93</v>
      </c>
      <c r="CG30" s="91">
        <f t="shared" si="158"/>
        <v>34177176.660000004</v>
      </c>
      <c r="CH30" s="91">
        <f t="shared" si="159"/>
        <v>1142456.1834475866</v>
      </c>
      <c r="CI30" s="91">
        <f t="shared" si="160"/>
        <v>3.5319632843447593E-2</v>
      </c>
      <c r="CJ30" s="91">
        <f t="shared" si="161"/>
        <v>6.9746504997520165E-2</v>
      </c>
    </row>
    <row r="31" spans="1:101" ht="17.5" x14ac:dyDescent="0.45">
      <c r="A31" s="3" t="s">
        <v>48</v>
      </c>
      <c r="B31" s="67">
        <f>36100000*0.000000001</f>
        <v>3.61E-2</v>
      </c>
      <c r="C31" s="67">
        <f>((I8-H8)/B31)*100</f>
        <v>2131.9194034152938</v>
      </c>
      <c r="E31" s="104"/>
      <c r="F31" s="1" t="s">
        <v>42</v>
      </c>
      <c r="G31" s="1" t="s">
        <v>42</v>
      </c>
      <c r="H31" s="1" t="s">
        <v>42</v>
      </c>
      <c r="I31" s="1" t="s">
        <v>42</v>
      </c>
      <c r="J31" s="1" t="s">
        <v>42</v>
      </c>
      <c r="M31" s="66" t="s">
        <v>19</v>
      </c>
      <c r="N31" s="66">
        <v>4713.3500000000004</v>
      </c>
      <c r="O31" s="67">
        <v>71066200</v>
      </c>
      <c r="P31" s="66">
        <v>13389.8</v>
      </c>
      <c r="Q31" s="67">
        <f t="shared" si="163"/>
        <v>3461634.6020000004</v>
      </c>
      <c r="R31" s="67">
        <f t="shared" si="164"/>
        <v>343396.86784471018</v>
      </c>
      <c r="S31" s="67">
        <f t="shared" si="146"/>
        <v>3.8050314698447108E-3</v>
      </c>
      <c r="T31" s="67">
        <f t="shared" si="147"/>
        <v>5.4256785493406881E-3</v>
      </c>
      <c r="AB31" s="105" t="s">
        <v>50</v>
      </c>
      <c r="AC31" s="1" t="s">
        <v>59</v>
      </c>
      <c r="AD31" s="1" t="s">
        <v>60</v>
      </c>
      <c r="AE31" s="1" t="s">
        <v>61</v>
      </c>
      <c r="AF31" s="1" t="s">
        <v>61</v>
      </c>
      <c r="AG31" s="19" t="s">
        <v>62</v>
      </c>
      <c r="AH31" s="27"/>
      <c r="AI31" s="3" t="s">
        <v>48</v>
      </c>
      <c r="AJ31" s="67">
        <f>36100000*0.000000001</f>
        <v>3.61E-2</v>
      </c>
      <c r="AK31" s="67">
        <f>((AQ8-AP8)/AJ31)*100</f>
        <v>1805.3002235818371</v>
      </c>
      <c r="AM31" s="104"/>
      <c r="AN31" s="1" t="s">
        <v>42</v>
      </c>
      <c r="AO31" s="1" t="s">
        <v>42</v>
      </c>
      <c r="AP31" s="1" t="s">
        <v>42</v>
      </c>
      <c r="AQ31" s="1" t="s">
        <v>42</v>
      </c>
      <c r="AR31" s="1" t="s">
        <v>42</v>
      </c>
      <c r="AU31" s="66" t="s">
        <v>19</v>
      </c>
      <c r="AV31" s="66">
        <v>4713.3500000000004</v>
      </c>
      <c r="AW31" s="67">
        <v>71066200</v>
      </c>
      <c r="AX31" s="66">
        <v>13389.8</v>
      </c>
      <c r="AY31" s="91">
        <f t="shared" si="152"/>
        <v>3461634.6020000004</v>
      </c>
      <c r="AZ31" s="91">
        <f t="shared" si="153"/>
        <v>343396.86784471018</v>
      </c>
      <c r="BA31" s="91">
        <f t="shared" si="154"/>
        <v>3.8050314698447108E-3</v>
      </c>
      <c r="BB31" s="91">
        <f t="shared" si="155"/>
        <v>4.2556591101338354E-3</v>
      </c>
      <c r="BJ31" s="105" t="s">
        <v>50</v>
      </c>
      <c r="BK31" s="1" t="s">
        <v>59</v>
      </c>
      <c r="BL31" s="1" t="s">
        <v>60</v>
      </c>
      <c r="BM31" s="1" t="s">
        <v>61</v>
      </c>
      <c r="BN31" s="1" t="s">
        <v>61</v>
      </c>
      <c r="BO31" s="19" t="s">
        <v>62</v>
      </c>
      <c r="BP31" s="27"/>
      <c r="BQ31" s="3" t="s">
        <v>48</v>
      </c>
      <c r="BR31" s="67">
        <f>36100000*0.000000001</f>
        <v>3.61E-2</v>
      </c>
      <c r="BS31" s="67">
        <f>((BY8-BX8)/BR31)*100</f>
        <v>2567.5017715078566</v>
      </c>
      <c r="BU31" s="104"/>
      <c r="BV31" s="1" t="s">
        <v>42</v>
      </c>
      <c r="BW31" s="1" t="s">
        <v>42</v>
      </c>
      <c r="BX31" s="1" t="s">
        <v>42</v>
      </c>
      <c r="BY31" s="1" t="s">
        <v>42</v>
      </c>
      <c r="BZ31" s="1" t="s">
        <v>42</v>
      </c>
      <c r="CC31" s="66" t="s">
        <v>19</v>
      </c>
      <c r="CD31" s="66">
        <v>4713.3500000000004</v>
      </c>
      <c r="CE31" s="67">
        <v>71066200</v>
      </c>
      <c r="CF31" s="66">
        <v>13389.8</v>
      </c>
      <c r="CG31" s="91">
        <f t="shared" si="158"/>
        <v>3461634.6020000004</v>
      </c>
      <c r="CH31" s="91">
        <f t="shared" si="159"/>
        <v>343396.86784471018</v>
      </c>
      <c r="CI31" s="91">
        <f t="shared" si="160"/>
        <v>3.8050314698447108E-3</v>
      </c>
      <c r="CJ31" s="91">
        <f t="shared" si="161"/>
        <v>7.064273256677538E-3</v>
      </c>
      <c r="CR31" s="105" t="s">
        <v>50</v>
      </c>
      <c r="CS31" s="1" t="s">
        <v>59</v>
      </c>
      <c r="CT31" s="1" t="s">
        <v>60</v>
      </c>
      <c r="CU31" s="1" t="s">
        <v>61</v>
      </c>
      <c r="CV31" s="1" t="s">
        <v>61</v>
      </c>
      <c r="CW31" s="19" t="s">
        <v>62</v>
      </c>
    </row>
    <row r="32" spans="1:101" ht="14.5" customHeight="1" x14ac:dyDescent="0.35">
      <c r="D32" s="3"/>
      <c r="E32" s="104"/>
      <c r="F32" s="67">
        <f>MIN(F8,F12,F16,F20,F24,F28)</f>
        <v>199176602.59</v>
      </c>
      <c r="G32" s="67">
        <f>MIN(G8,G12,G16,G20,G24,G28)</f>
        <v>2257801.7166512609</v>
      </c>
      <c r="H32" s="67">
        <f>MIN(H8,H12,H16,H20,H24,H28)</f>
        <v>0.20143440430665127</v>
      </c>
      <c r="I32" s="67">
        <f>MIN(I8,I12,I16,I20,I24,I28)</f>
        <v>0.69094476718045139</v>
      </c>
      <c r="J32" s="67">
        <f>MIN(J8,J12,J16,J20,J24,J28)</f>
        <v>0.48951036287380012</v>
      </c>
      <c r="K32" s="67"/>
      <c r="M32" s="1" t="s">
        <v>27</v>
      </c>
      <c r="O32" s="67"/>
      <c r="Q32" s="67">
        <f>SUM(Q28:Q31)</f>
        <v>165689120.56200001</v>
      </c>
      <c r="R32" s="67">
        <f t="shared" ref="R32:T32" si="165">SUM(R28:R31)</f>
        <v>8537273.2255292647</v>
      </c>
      <c r="S32" s="67">
        <f t="shared" si="165"/>
        <v>0.17422639378752927</v>
      </c>
      <c r="T32" s="67">
        <f t="shared" si="165"/>
        <v>0.25969693819589529</v>
      </c>
      <c r="U32" s="67">
        <f>T32-S32</f>
        <v>8.5470544408366017E-2</v>
      </c>
      <c r="V32" s="67"/>
      <c r="AB32" s="105"/>
      <c r="AC32" s="1" t="s">
        <v>42</v>
      </c>
      <c r="AD32" s="1" t="s">
        <v>42</v>
      </c>
      <c r="AE32" s="1" t="s">
        <v>42</v>
      </c>
      <c r="AF32" s="1" t="s">
        <v>42</v>
      </c>
      <c r="AG32" s="1" t="s">
        <v>42</v>
      </c>
      <c r="AH32" s="28"/>
      <c r="AL32" s="3"/>
      <c r="AM32" s="104"/>
      <c r="AN32" s="67">
        <f>MIN(AN8,AN12,AN16,AN20,AN24,AN28)</f>
        <v>199176602.59</v>
      </c>
      <c r="AO32" s="67">
        <f>MIN(AO8,AO12,AO16,AO20,AO24,AO28)</f>
        <v>2257801.7166512609</v>
      </c>
      <c r="AP32" s="67">
        <f>MIN(AP8,AP12,AP16,AP20,AP24,AP28)</f>
        <v>0.20143440430665127</v>
      </c>
      <c r="AQ32" s="67">
        <f>MIN(AQ8,AQ12,AQ16,AQ20,AQ24,AQ28)</f>
        <v>0.61594808210050389</v>
      </c>
      <c r="AR32" s="67">
        <f>MIN(AR8,AR12,AR16,AR20,AR24,AR28)</f>
        <v>0.41451367779385262</v>
      </c>
      <c r="AS32" s="67"/>
      <c r="AU32" s="1" t="s">
        <v>27</v>
      </c>
      <c r="AW32" s="67"/>
      <c r="AY32" s="67">
        <f>SUM(AY28:AY31)</f>
        <v>165689120.56200001</v>
      </c>
      <c r="AZ32" s="67">
        <f t="shared" ref="AZ32:BB32" si="166">SUM(AZ28:AZ31)</f>
        <v>8537273.2255292647</v>
      </c>
      <c r="BA32" s="67">
        <f t="shared" si="166"/>
        <v>0.17422639378752927</v>
      </c>
      <c r="BB32" s="67">
        <f t="shared" si="166"/>
        <v>0.20369464037664442</v>
      </c>
      <c r="BC32" s="67">
        <f>BB32-BA32</f>
        <v>2.9468246589115149E-2</v>
      </c>
      <c r="BD32" s="67"/>
      <c r="BJ32" s="105"/>
      <c r="BK32" s="1" t="s">
        <v>42</v>
      </c>
      <c r="BL32" s="1" t="s">
        <v>42</v>
      </c>
      <c r="BM32" s="1" t="s">
        <v>42</v>
      </c>
      <c r="BN32" s="1" t="s">
        <v>42</v>
      </c>
      <c r="BO32" s="1" t="s">
        <v>42</v>
      </c>
      <c r="BP32" s="28"/>
      <c r="BT32" s="3"/>
      <c r="BU32" s="104"/>
      <c r="BV32" s="67">
        <f>MIN(BV8,BV12,BV16,BV20,BV24,BV28)</f>
        <v>199176602.59</v>
      </c>
      <c r="BW32" s="67">
        <f>MIN(BW8,BW12,BW16,BW20,BW24,BW28)</f>
        <v>2257801.7166512609</v>
      </c>
      <c r="BX32" s="67">
        <f>MIN(BX8,BX12,BX16,BX20,BX24,BX28)</f>
        <v>0.20143440430665127</v>
      </c>
      <c r="BY32" s="67">
        <f>MIN(BY8,BY12,BY16,BY20,BY24,BY28)</f>
        <v>0.79096104210610885</v>
      </c>
      <c r="BZ32" s="67">
        <f>MIN(BZ8,BZ12,BZ16,BZ20,BZ24,BZ28)</f>
        <v>0.58952663779945758</v>
      </c>
      <c r="CA32" s="67"/>
      <c r="CC32" s="1" t="s">
        <v>27</v>
      </c>
      <c r="CE32" s="67"/>
      <c r="CG32" s="67">
        <f>SUM(CG28:CG31)</f>
        <v>165689120.56200001</v>
      </c>
      <c r="CH32" s="67">
        <f t="shared" ref="CH32:CJ32" si="167">SUM(CH28:CH31)</f>
        <v>8537273.2255292647</v>
      </c>
      <c r="CI32" s="67">
        <f t="shared" si="167"/>
        <v>0.17422639378752927</v>
      </c>
      <c r="CJ32" s="67">
        <f t="shared" si="167"/>
        <v>0.33812731783773542</v>
      </c>
      <c r="CK32" s="67">
        <f>CJ32-CI32</f>
        <v>0.16390092405020615</v>
      </c>
      <c r="CL32" s="67"/>
      <c r="CR32" s="105"/>
      <c r="CS32" s="1" t="s">
        <v>42</v>
      </c>
      <c r="CT32" s="1" t="s">
        <v>42</v>
      </c>
      <c r="CU32" s="1" t="s">
        <v>42</v>
      </c>
      <c r="CV32" s="1" t="s">
        <v>42</v>
      </c>
      <c r="CW32" s="1" t="s">
        <v>42</v>
      </c>
    </row>
    <row r="33" spans="1:101" x14ac:dyDescent="0.35">
      <c r="D33" s="3"/>
      <c r="E33" s="104"/>
      <c r="F33" s="1" t="s">
        <v>41</v>
      </c>
      <c r="G33" s="1" t="s">
        <v>41</v>
      </c>
      <c r="H33" s="1" t="s">
        <v>41</v>
      </c>
      <c r="I33" s="1" t="s">
        <v>41</v>
      </c>
      <c r="J33" s="1" t="s">
        <v>41</v>
      </c>
      <c r="L33" s="66">
        <v>2020</v>
      </c>
      <c r="M33" s="66" t="s">
        <v>22</v>
      </c>
      <c r="N33" s="66">
        <v>139132.1</v>
      </c>
      <c r="O33" s="67">
        <v>3396870000</v>
      </c>
      <c r="AB33" s="105"/>
      <c r="AC33" s="67">
        <f>MIN(AC6:AC8,AC10:AC12,AC14:AC16,AC18:AC20,AC23:AC25,AC27:AC29)</f>
        <v>758227730.61051023</v>
      </c>
      <c r="AD33" s="91">
        <f t="shared" ref="AD33:AG33" si="168">MIN(AD6:AD8,AD10:AD12,AD14:AD16,AD18:AD20,AD23:AD25,AD27:AD29)</f>
        <v>215443.97758434003</v>
      </c>
      <c r="AE33" s="91">
        <f t="shared" si="168"/>
        <v>0.75844317458809463</v>
      </c>
      <c r="AF33" s="91">
        <f t="shared" si="168"/>
        <v>1.2985179821627411</v>
      </c>
      <c r="AG33" s="91">
        <f t="shared" si="168"/>
        <v>0.43302299687088674</v>
      </c>
      <c r="AL33" s="3"/>
      <c r="AM33" s="104"/>
      <c r="AN33" s="1" t="s">
        <v>41</v>
      </c>
      <c r="AO33" s="1" t="s">
        <v>41</v>
      </c>
      <c r="AP33" s="1" t="s">
        <v>41</v>
      </c>
      <c r="AQ33" s="1" t="s">
        <v>41</v>
      </c>
      <c r="AR33" s="1" t="s">
        <v>41</v>
      </c>
      <c r="AT33" s="66">
        <v>2020</v>
      </c>
      <c r="AU33" s="66" t="s">
        <v>22</v>
      </c>
      <c r="AV33" s="66">
        <v>139132.1</v>
      </c>
      <c r="AW33" s="67">
        <v>3396870000</v>
      </c>
      <c r="BJ33" s="105"/>
      <c r="BK33" s="67">
        <f>MIN(BK6:BK8,BK10:BK12,BK14:BK16,BK18:BK20,BK23:BK25,BK27:BK29)</f>
        <v>758227730.61051023</v>
      </c>
      <c r="BL33" s="91">
        <f t="shared" ref="BL33:BO33" si="169">MIN(BL6:BL8,BL10:BL12,BL14:BL16,BL18:BL20,BL23:BL25,BL27:BL29)</f>
        <v>215443.97758434003</v>
      </c>
      <c r="BM33" s="91">
        <f t="shared" si="169"/>
        <v>0.75844317458809463</v>
      </c>
      <c r="BN33" s="91">
        <f t="shared" si="169"/>
        <v>1.0322385639753981</v>
      </c>
      <c r="BO33" s="91">
        <f t="shared" si="169"/>
        <v>0.16674357868354384</v>
      </c>
      <c r="BT33" s="3"/>
      <c r="BU33" s="104"/>
      <c r="BV33" s="1" t="s">
        <v>41</v>
      </c>
      <c r="BW33" s="1" t="s">
        <v>41</v>
      </c>
      <c r="BX33" s="1" t="s">
        <v>41</v>
      </c>
      <c r="BY33" s="1" t="s">
        <v>41</v>
      </c>
      <c r="BZ33" s="1" t="s">
        <v>41</v>
      </c>
      <c r="CB33" s="66">
        <v>2020</v>
      </c>
      <c r="CC33" s="66" t="s">
        <v>22</v>
      </c>
      <c r="CD33" s="66">
        <v>139132.1</v>
      </c>
      <c r="CE33" s="67">
        <v>3396870000</v>
      </c>
      <c r="CR33" s="105"/>
      <c r="CS33" s="67">
        <f>MIN(CS6:CS8,CS10:CS12,CS14:CS16,CS18:CS20,CS23:CS25,CS27:CS29)</f>
        <v>758227730.61051023</v>
      </c>
      <c r="CT33" s="67">
        <f t="shared" ref="CT33:CV33" si="170">MIN(CT6,CT10,CT14,CT18,CT23,CT27)</f>
        <v>215443.97758434003</v>
      </c>
      <c r="CU33" s="67">
        <f t="shared" si="170"/>
        <v>0.75844317458809463</v>
      </c>
      <c r="CV33" s="67">
        <f t="shared" si="170"/>
        <v>1.6643958763420501</v>
      </c>
      <c r="CW33" s="67">
        <f>MIN(CW6,CW10,CW14,CW18,CW23,CW27)</f>
        <v>0.90595270175395548</v>
      </c>
    </row>
    <row r="34" spans="1:101" x14ac:dyDescent="0.35">
      <c r="A34" s="66" t="s">
        <v>36</v>
      </c>
      <c r="B34" s="66" t="s">
        <v>39</v>
      </c>
      <c r="C34" s="66" t="s">
        <v>9</v>
      </c>
      <c r="D34" s="3"/>
      <c r="E34" s="104"/>
      <c r="F34" s="67">
        <f>MEDIAN(F8,F12,F16,F20,F24,F28)</f>
        <v>261619383.42045003</v>
      </c>
      <c r="G34" s="67">
        <f>MEDIAN(G8,G12,G16,G20,G24,G28)</f>
        <v>2959600.3318684623</v>
      </c>
      <c r="H34" s="67">
        <f>MEDIAN(H8,H12,H16,H20,H24,H28)</f>
        <v>0.26457898375231848</v>
      </c>
      <c r="I34" s="67">
        <f>MEDIAN(I8,I12,I16,I20,I24,I28)</f>
        <v>0.90755912901795655</v>
      </c>
      <c r="J34" s="67">
        <f>MEDIAN(J8,J12,J16,J20,J24,J28)</f>
        <v>0.64298014526563807</v>
      </c>
      <c r="K34" s="67"/>
      <c r="M34" s="66" t="s">
        <v>17</v>
      </c>
      <c r="N34" s="66">
        <v>60926.9</v>
      </c>
      <c r="O34" s="67">
        <v>1260650000</v>
      </c>
      <c r="P34" s="66">
        <v>10024.9</v>
      </c>
      <c r="Q34" s="67">
        <f>O34*$M$49</f>
        <v>61406261.500000007</v>
      </c>
      <c r="R34" s="67">
        <f>O34*P34*$M$48</f>
        <v>4560723.2863867041</v>
      </c>
      <c r="S34" s="67">
        <f t="shared" ref="S34:S36" si="171">SUM(Q34:R34)*0.000000001</f>
        <v>6.5966984786386712E-2</v>
      </c>
      <c r="T34" s="67">
        <f t="shared" ref="T34:T36" si="172">O34*$M$50*0.000000001</f>
        <v>9.6246621646103744E-2</v>
      </c>
      <c r="AB34" s="105"/>
      <c r="AC34" s="1" t="s">
        <v>41</v>
      </c>
      <c r="AD34" s="1" t="s">
        <v>41</v>
      </c>
      <c r="AE34" s="1" t="s">
        <v>41</v>
      </c>
      <c r="AF34" s="1" t="s">
        <v>41</v>
      </c>
      <c r="AG34" s="1" t="s">
        <v>41</v>
      </c>
      <c r="AH34" s="28"/>
      <c r="AI34" s="66" t="s">
        <v>36</v>
      </c>
      <c r="AJ34" s="66" t="s">
        <v>39</v>
      </c>
      <c r="AK34" s="66" t="s">
        <v>9</v>
      </c>
      <c r="AL34" s="3"/>
      <c r="AM34" s="104"/>
      <c r="AN34" s="67">
        <f>MEDIAN(AN8,AN12,AN16,AN20,AN24,AN28)</f>
        <v>261619383.42045003</v>
      </c>
      <c r="AO34" s="67">
        <f>MEDIAN(AO8,AO12,AO16,AO20,AO24,AO28)</f>
        <v>2959600.3318684623</v>
      </c>
      <c r="AP34" s="67">
        <f>MEDIAN(AP8,AP12,AP16,AP20,AP24,AP28)</f>
        <v>0.26457898375231848</v>
      </c>
      <c r="AQ34" s="67">
        <f>MEDIAN(AQ8,AQ12,AQ16,AQ20,AQ24,AQ28)</f>
        <v>0.80905063829135249</v>
      </c>
      <c r="AR34" s="67">
        <f>MEDIAN(AR8,AR12,AR16,AR20,AR24,AR28)</f>
        <v>0.54447165453903401</v>
      </c>
      <c r="AS34" s="67"/>
      <c r="AU34" s="66" t="s">
        <v>17</v>
      </c>
      <c r="AV34" s="66">
        <v>60926.9</v>
      </c>
      <c r="AW34" s="67">
        <v>1260650000</v>
      </c>
      <c r="AX34" s="66">
        <v>10024.9</v>
      </c>
      <c r="AY34" s="91">
        <f t="shared" ref="AY34:AY36" si="173">AW34*AU$49</f>
        <v>61406261.500000007</v>
      </c>
      <c r="AZ34" s="91">
        <f t="shared" ref="AZ34:AZ36" si="174">AW34*AX34*AU$48</f>
        <v>4560723.2863867041</v>
      </c>
      <c r="BA34" s="91">
        <f t="shared" ref="BA34:BA36" si="175">SUM(AY34:AZ34)*0.000000001</f>
        <v>6.5966984786386712E-2</v>
      </c>
      <c r="BB34" s="91">
        <f t="shared" ref="BB34:BB36" si="176">AW34*AU$50*0.000000001</f>
        <v>7.5491536865489067E-2</v>
      </c>
      <c r="BJ34" s="105"/>
      <c r="BK34" s="1" t="s">
        <v>41</v>
      </c>
      <c r="BL34" s="1" t="s">
        <v>41</v>
      </c>
      <c r="BM34" s="1" t="s">
        <v>41</v>
      </c>
      <c r="BN34" s="1" t="s">
        <v>41</v>
      </c>
      <c r="BO34" s="1" t="s">
        <v>41</v>
      </c>
      <c r="BP34" s="28"/>
      <c r="BQ34" s="66" t="s">
        <v>36</v>
      </c>
      <c r="BR34" s="66" t="s">
        <v>39</v>
      </c>
      <c r="BS34" s="66" t="s">
        <v>9</v>
      </c>
      <c r="BT34" s="3"/>
      <c r="BU34" s="104"/>
      <c r="BV34" s="67">
        <f>MEDIAN(BV8,BV12,BV16,BV20,BV24,BV28)</f>
        <v>261619383.42045003</v>
      </c>
      <c r="BW34" s="67">
        <f>MEDIAN(BW8,BW12,BW16,BW20,BW24,BW28)</f>
        <v>2959600.3318684623</v>
      </c>
      <c r="BX34" s="67">
        <f>MEDIAN(BX8,BX12,BX16,BX20,BX24,BX28)</f>
        <v>0.26457898375231848</v>
      </c>
      <c r="BY34" s="67">
        <f>MEDIAN(BY8,BY12,BY16,BY20,BY24,BY28)</f>
        <v>1.0389309660600972</v>
      </c>
      <c r="BZ34" s="67">
        <f>MEDIAN(BZ8,BZ12,BZ16,BZ20,BZ24,BZ28)</f>
        <v>0.77435198230777869</v>
      </c>
      <c r="CA34" s="67"/>
      <c r="CC34" s="66" t="s">
        <v>17</v>
      </c>
      <c r="CD34" s="66">
        <v>60926.9</v>
      </c>
      <c r="CE34" s="67">
        <v>1260650000</v>
      </c>
      <c r="CF34" s="66">
        <v>10024.9</v>
      </c>
      <c r="CG34" s="91">
        <f t="shared" ref="CG34:CG36" si="177">CE34*CC$49</f>
        <v>61406261.500000007</v>
      </c>
      <c r="CH34" s="91">
        <f t="shared" ref="CH34:CH36" si="178">CE34*CF34*CC$48</f>
        <v>4560723.2863867041</v>
      </c>
      <c r="CI34" s="91">
        <f t="shared" ref="CI34:CI36" si="179">SUM(CG34:CH34)*0.000000001</f>
        <v>6.5966984786386712E-2</v>
      </c>
      <c r="CJ34" s="91">
        <f t="shared" ref="CJ34:CJ36" si="180">CE34*CC$50*0.000000001</f>
        <v>0.1253138071408143</v>
      </c>
      <c r="CR34" s="105"/>
      <c r="CS34" s="1" t="s">
        <v>41</v>
      </c>
      <c r="CT34" s="1" t="s">
        <v>41</v>
      </c>
      <c r="CU34" s="1" t="s">
        <v>41</v>
      </c>
      <c r="CV34" s="1" t="s">
        <v>41</v>
      </c>
      <c r="CW34" s="1" t="s">
        <v>41</v>
      </c>
    </row>
    <row r="35" spans="1:101" x14ac:dyDescent="0.35">
      <c r="A35" s="66" t="s">
        <v>30</v>
      </c>
      <c r="B35" s="82">
        <v>3.6087695173992398E-7</v>
      </c>
      <c r="C35" s="101" t="s">
        <v>13</v>
      </c>
      <c r="E35" s="104"/>
      <c r="F35" s="1" t="s">
        <v>43</v>
      </c>
      <c r="G35" s="1" t="s">
        <v>43</v>
      </c>
      <c r="H35" s="1" t="s">
        <v>43</v>
      </c>
      <c r="I35" s="1" t="s">
        <v>43</v>
      </c>
      <c r="J35" s="1" t="s">
        <v>43</v>
      </c>
      <c r="M35" s="66" t="s">
        <v>18</v>
      </c>
      <c r="N35" s="66">
        <v>44574.51</v>
      </c>
      <c r="O35" s="67">
        <v>1442260000</v>
      </c>
      <c r="P35" s="66">
        <v>4511.93</v>
      </c>
      <c r="Q35" s="67">
        <f t="shared" ref="Q35:Q36" si="181">O35*$M$49</f>
        <v>70252484.600000009</v>
      </c>
      <c r="R35" s="67">
        <f t="shared" ref="R35:R36" si="182">O35*P35*$M$48</f>
        <v>2348362.0730954302</v>
      </c>
      <c r="S35" s="67">
        <f t="shared" si="171"/>
        <v>7.2600846673095437E-2</v>
      </c>
      <c r="T35" s="67">
        <f t="shared" si="172"/>
        <v>0.11011196806037329</v>
      </c>
      <c r="AB35" s="105"/>
      <c r="AC35" s="67">
        <f>MEDIAN(AC6:AC8,AC10:AC12,AC14:AC16,AC18:AC20,AC23:AC25,AC27:AC29)</f>
        <v>1172091841.2853608</v>
      </c>
      <c r="AD35" s="91">
        <f t="shared" ref="AD35:AF35" si="183">MEDIAN(AD6:AD8,AD10:AD12,AD14:AD16,AD18:AD20,AD23:AD25,AD27:AD29)</f>
        <v>28135048.571731441</v>
      </c>
      <c r="AE35" s="91">
        <f t="shared" si="183"/>
        <v>1.2604544282363435</v>
      </c>
      <c r="AF35" s="91">
        <f t="shared" si="183"/>
        <v>2.0072891971780145</v>
      </c>
      <c r="AG35" s="91">
        <f>MEDIAN(AG6:AG8,AG10:AG12,AG14:AG16,AG18:AG20,AG23:AG25,AG27:AG29)</f>
        <v>0.78706655740040055</v>
      </c>
      <c r="AI35" s="66" t="s">
        <v>30</v>
      </c>
      <c r="AJ35" s="85">
        <v>3.6087695173992398E-7</v>
      </c>
      <c r="AK35" s="101" t="s">
        <v>13</v>
      </c>
      <c r="AM35" s="104"/>
      <c r="AN35" s="1" t="s">
        <v>43</v>
      </c>
      <c r="AO35" s="1" t="s">
        <v>43</v>
      </c>
      <c r="AP35" s="1" t="s">
        <v>43</v>
      </c>
      <c r="AQ35" s="1" t="s">
        <v>43</v>
      </c>
      <c r="AR35" s="1" t="s">
        <v>43</v>
      </c>
      <c r="AU35" s="66" t="s">
        <v>18</v>
      </c>
      <c r="AV35" s="66">
        <v>44574.51</v>
      </c>
      <c r="AW35" s="67">
        <v>1442260000</v>
      </c>
      <c r="AX35" s="66">
        <v>4511.93</v>
      </c>
      <c r="AY35" s="91">
        <f t="shared" si="173"/>
        <v>70252484.600000009</v>
      </c>
      <c r="AZ35" s="91">
        <f t="shared" si="174"/>
        <v>2348362.0730954302</v>
      </c>
      <c r="BA35" s="91">
        <f t="shared" si="175"/>
        <v>7.2600846673095437E-2</v>
      </c>
      <c r="BB35" s="91">
        <f t="shared" si="176"/>
        <v>8.6366893237314293E-2</v>
      </c>
      <c r="BJ35" s="105"/>
      <c r="BK35" s="67">
        <f>MEDIAN(BK6:BK8,BK10:BK12,BK14:BK16,BK18:BK20,BK23:BK25,BK27:BK29)</f>
        <v>1172091841.2853608</v>
      </c>
      <c r="BL35" s="91">
        <f t="shared" ref="BL35:BO35" si="184">MEDIAN(BL6:BL8,BL10:BL12,BL14:BL16,BL18:BL20,BL23:BL25,BL27:BL29)</f>
        <v>28135048.571731441</v>
      </c>
      <c r="BM35" s="91">
        <f t="shared" si="184"/>
        <v>1.2604544282363435</v>
      </c>
      <c r="BN35" s="91">
        <f t="shared" si="184"/>
        <v>1.5956662494017608</v>
      </c>
      <c r="BO35" s="91">
        <f t="shared" si="184"/>
        <v>0.38564196661668693</v>
      </c>
      <c r="BQ35" s="66" t="s">
        <v>30</v>
      </c>
      <c r="BR35" s="88">
        <v>3.6087695173992398E-7</v>
      </c>
      <c r="BS35" s="101" t="s">
        <v>13</v>
      </c>
      <c r="BU35" s="104"/>
      <c r="BV35" s="1" t="s">
        <v>43</v>
      </c>
      <c r="BW35" s="1" t="s">
        <v>43</v>
      </c>
      <c r="BX35" s="1" t="s">
        <v>43</v>
      </c>
      <c r="BY35" s="1" t="s">
        <v>43</v>
      </c>
      <c r="BZ35" s="1" t="s">
        <v>43</v>
      </c>
      <c r="CC35" s="66" t="s">
        <v>18</v>
      </c>
      <c r="CD35" s="66">
        <v>44574.51</v>
      </c>
      <c r="CE35" s="67">
        <v>1442260000</v>
      </c>
      <c r="CF35" s="66">
        <v>4511.93</v>
      </c>
      <c r="CG35" s="91">
        <f t="shared" si="177"/>
        <v>70252484.600000009</v>
      </c>
      <c r="CH35" s="91">
        <f t="shared" si="178"/>
        <v>2348362.0730954302</v>
      </c>
      <c r="CI35" s="91">
        <f t="shared" si="179"/>
        <v>7.2600846673095437E-2</v>
      </c>
      <c r="CJ35" s="91">
        <f t="shared" si="180"/>
        <v>0.14336658984405731</v>
      </c>
      <c r="CR35" s="105"/>
      <c r="CS35" s="67">
        <f>MEDIAN(CS6:CS8,CS10:CS12,CS14:CS16,CS18:CS20,CS23:CS25,CS27:CS29)</f>
        <v>1172091841.2853608</v>
      </c>
      <c r="CT35" s="67">
        <f t="shared" ref="CT35:CW35" si="185">MEDIAN(CT6,CT10,CT14,CT18,CT23,CT27)</f>
        <v>333039.95381090435</v>
      </c>
      <c r="CU35" s="67">
        <f t="shared" si="185"/>
        <v>1.172424881239172</v>
      </c>
      <c r="CV35" s="67">
        <f t="shared" si="185"/>
        <v>2.5728745449058552</v>
      </c>
      <c r="CW35" s="67">
        <f t="shared" si="185"/>
        <v>1.400449663666683</v>
      </c>
    </row>
    <row r="36" spans="1:101" ht="16" x14ac:dyDescent="0.4">
      <c r="A36" s="66" t="s">
        <v>37</v>
      </c>
      <c r="B36" s="17">
        <v>4.8710000000000003E-2</v>
      </c>
      <c r="C36" s="101" t="s">
        <v>13</v>
      </c>
      <c r="E36" s="104"/>
      <c r="F36" s="67">
        <f>MAX(F8,F12,F16,F20,F24,F28)</f>
        <v>313144752.49580002</v>
      </c>
      <c r="G36" s="67">
        <f>MAX(G8,G12,G16,G20,G24,G28)</f>
        <v>3533270.2566805291</v>
      </c>
      <c r="H36" s="67">
        <f>MAX(H8,H12,H16,H20,H24,H28)</f>
        <v>0.31667802275248053</v>
      </c>
      <c r="I36" s="67">
        <f>MAX(I8,I12,I16,I20,I24,I28)</f>
        <v>1.0863009273854016</v>
      </c>
      <c r="J36" s="67">
        <f>MAX(J8,J12,J16,J20,J24,J28)</f>
        <v>0.76962290463292105</v>
      </c>
      <c r="K36" s="67"/>
      <c r="M36" s="66" t="s">
        <v>16</v>
      </c>
      <c r="N36" s="66">
        <v>22860.73</v>
      </c>
      <c r="O36" s="67">
        <v>652254000</v>
      </c>
      <c r="P36" s="66">
        <v>4900.57</v>
      </c>
      <c r="Q36" s="67">
        <f t="shared" si="181"/>
        <v>31771292.340000004</v>
      </c>
      <c r="R36" s="67">
        <f t="shared" si="182"/>
        <v>1153513.0014309543</v>
      </c>
      <c r="S36" s="67">
        <f t="shared" si="171"/>
        <v>3.2924805341430961E-2</v>
      </c>
      <c r="T36" s="67">
        <f t="shared" si="172"/>
        <v>4.9797520291244804E-2</v>
      </c>
      <c r="X36" s="66" t="s">
        <v>36</v>
      </c>
      <c r="Y36" s="66" t="s">
        <v>39</v>
      </c>
      <c r="Z36" s="66" t="s">
        <v>9</v>
      </c>
      <c r="AB36" s="105"/>
      <c r="AC36" s="1" t="s">
        <v>43</v>
      </c>
      <c r="AD36" s="1" t="s">
        <v>43</v>
      </c>
      <c r="AE36" s="1" t="s">
        <v>43</v>
      </c>
      <c r="AF36" s="1" t="s">
        <v>43</v>
      </c>
      <c r="AG36" s="1" t="s">
        <v>43</v>
      </c>
      <c r="AH36" s="28"/>
      <c r="AI36" s="66" t="s">
        <v>37</v>
      </c>
      <c r="AJ36" s="17">
        <v>4.8710000000000003E-2</v>
      </c>
      <c r="AK36" s="101" t="s">
        <v>13</v>
      </c>
      <c r="AM36" s="104"/>
      <c r="AN36" s="67">
        <f>MAX(AN8,AN12,AN16,AN20,AN24,AN28)</f>
        <v>313144752.49580002</v>
      </c>
      <c r="AO36" s="67">
        <f>MAX(AO8,AO12,AO16,AO20,AO24,AO28)</f>
        <v>3533270.2566805291</v>
      </c>
      <c r="AP36" s="67">
        <f>MAX(AP8,AP12,AP16,AP20,AP24,AP28)</f>
        <v>0.31667802275248053</v>
      </c>
      <c r="AQ36" s="67">
        <f>MAX(AQ8,AQ12,AQ16,AQ20,AQ24,AQ28)</f>
        <v>0.96839140346552377</v>
      </c>
      <c r="AR36" s="67">
        <f>MAX(AR8,AR12,AR16,AR20,AR24,AR28)</f>
        <v>0.6517133807130433</v>
      </c>
      <c r="AS36" s="67"/>
      <c r="AU36" s="66" t="s">
        <v>16</v>
      </c>
      <c r="AV36" s="66">
        <v>22860.73</v>
      </c>
      <c r="AW36" s="67">
        <v>652254000</v>
      </c>
      <c r="AX36" s="66">
        <v>4900.57</v>
      </c>
      <c r="AY36" s="91">
        <f t="shared" si="173"/>
        <v>31771292.340000004</v>
      </c>
      <c r="AZ36" s="91">
        <f t="shared" si="174"/>
        <v>1153513.0014309543</v>
      </c>
      <c r="BA36" s="91">
        <f t="shared" si="175"/>
        <v>3.2924805341430961E-2</v>
      </c>
      <c r="BB36" s="91">
        <f t="shared" si="176"/>
        <v>3.9058943312309288E-2</v>
      </c>
      <c r="BF36" s="66" t="s">
        <v>36</v>
      </c>
      <c r="BG36" s="66" t="s">
        <v>39</v>
      </c>
      <c r="BH36" s="66" t="s">
        <v>9</v>
      </c>
      <c r="BJ36" s="105"/>
      <c r="BK36" s="1" t="s">
        <v>43</v>
      </c>
      <c r="BL36" s="1" t="s">
        <v>43</v>
      </c>
      <c r="BM36" s="1" t="s">
        <v>43</v>
      </c>
      <c r="BN36" s="1" t="s">
        <v>43</v>
      </c>
      <c r="BO36" s="1" t="s">
        <v>43</v>
      </c>
      <c r="BP36" s="28"/>
      <c r="BQ36" s="66" t="s">
        <v>37</v>
      </c>
      <c r="BR36" s="17">
        <v>4.8710000000000003E-2</v>
      </c>
      <c r="BS36" s="101" t="s">
        <v>13</v>
      </c>
      <c r="BU36" s="104"/>
      <c r="BV36" s="67">
        <f>MAX(BV8,BV12,BV16,BV20,BV24,BV28)</f>
        <v>313144752.49580002</v>
      </c>
      <c r="BW36" s="67">
        <f>MAX(BW8,BW12,BW16,BW20,BW24,BW28)</f>
        <v>3533270.2566805291</v>
      </c>
      <c r="BX36" s="67">
        <f>MAX(BX8,BX12,BX16,BX20,BX24,BX28)</f>
        <v>0.31667802275248053</v>
      </c>
      <c r="BY36" s="67">
        <f>MAX(BY8,BY12,BY16,BY20,BY24,BY28)</f>
        <v>1.2435461622668169</v>
      </c>
      <c r="BZ36" s="67">
        <f>MAX(BZ8,BZ12,BZ16,BZ20,BZ24,BZ28)</f>
        <v>0.92686813951433633</v>
      </c>
      <c r="CA36" s="67"/>
      <c r="CC36" s="66" t="s">
        <v>16</v>
      </c>
      <c r="CD36" s="66">
        <v>22860.73</v>
      </c>
      <c r="CE36" s="67">
        <v>652254000</v>
      </c>
      <c r="CF36" s="66">
        <v>4900.57</v>
      </c>
      <c r="CG36" s="91">
        <f t="shared" si="177"/>
        <v>31771292.340000004</v>
      </c>
      <c r="CH36" s="91">
        <f t="shared" si="178"/>
        <v>1153513.0014309543</v>
      </c>
      <c r="CI36" s="91">
        <f t="shared" si="179"/>
        <v>3.2924805341430961E-2</v>
      </c>
      <c r="CJ36" s="91">
        <f t="shared" si="180"/>
        <v>6.4836736574643783E-2</v>
      </c>
      <c r="CN36" s="66" t="s">
        <v>36</v>
      </c>
      <c r="CO36" s="66" t="s">
        <v>39</v>
      </c>
      <c r="CP36" s="66" t="s">
        <v>9</v>
      </c>
      <c r="CR36" s="105"/>
      <c r="CS36" s="1" t="s">
        <v>43</v>
      </c>
      <c r="CT36" s="1" t="s">
        <v>43</v>
      </c>
      <c r="CU36" s="1" t="s">
        <v>43</v>
      </c>
      <c r="CV36" s="1" t="s">
        <v>43</v>
      </c>
      <c r="CW36" s="1" t="s">
        <v>43</v>
      </c>
    </row>
    <row r="37" spans="1:101" x14ac:dyDescent="0.35">
      <c r="A37" s="66" t="s">
        <v>38</v>
      </c>
      <c r="B37" s="92">
        <v>0.16897526703294385</v>
      </c>
      <c r="C37" s="101" t="s">
        <v>13</v>
      </c>
      <c r="M37" s="1" t="s">
        <v>27</v>
      </c>
      <c r="Q37" s="67">
        <f>SUM(Q34:Q36)</f>
        <v>163430038.44000003</v>
      </c>
      <c r="R37" s="67">
        <f t="shared" ref="R37:T37" si="186">SUM(R34:R36)</f>
        <v>8062598.3609130885</v>
      </c>
      <c r="S37" s="67">
        <f t="shared" si="186"/>
        <v>0.17149263680091312</v>
      </c>
      <c r="T37" s="67">
        <f t="shared" si="186"/>
        <v>0.25615610999772181</v>
      </c>
      <c r="U37" s="67">
        <f>T37-S37</f>
        <v>8.4663473196808697E-2</v>
      </c>
      <c r="V37" s="67"/>
      <c r="X37" s="66" t="s">
        <v>30</v>
      </c>
      <c r="Y37" s="84">
        <v>3.6087695173992398E-7</v>
      </c>
      <c r="Z37" s="101" t="s">
        <v>13</v>
      </c>
      <c r="AB37" s="105"/>
      <c r="AC37" s="67">
        <f>MAX(AC6:AC8,AC10:AC12,AC14:AC16,AC18:AC20,AC23:AC25,AC27:AC29)</f>
        <v>1350240897.6998947</v>
      </c>
      <c r="AD37" s="91">
        <f t="shared" ref="AD37:AG37" si="187">MAX(AD6:AD8,AD10:AD12,AD14:AD16,AD18:AD20,AD23:AD25,AD27:AD29)</f>
        <v>191019964.5931198</v>
      </c>
      <c r="AE37" s="91">
        <f t="shared" si="187"/>
        <v>1.5412608622930146</v>
      </c>
      <c r="AF37" s="91">
        <f t="shared" si="187"/>
        <v>2.3123819073501077</v>
      </c>
      <c r="AG37" s="91">
        <f t="shared" si="187"/>
        <v>0.96175735015326569</v>
      </c>
      <c r="AI37" s="66" t="s">
        <v>38</v>
      </c>
      <c r="AJ37" s="93">
        <v>0.15063431491938645</v>
      </c>
      <c r="AK37" s="101" t="s">
        <v>13</v>
      </c>
      <c r="AU37" s="1" t="s">
        <v>27</v>
      </c>
      <c r="AY37" s="67">
        <f>SUM(AY34:AY36)</f>
        <v>163430038.44000003</v>
      </c>
      <c r="AZ37" s="67">
        <f t="shared" ref="AZ37:BB37" si="188">SUM(AZ34:AZ36)</f>
        <v>8062598.3609130885</v>
      </c>
      <c r="BA37" s="67">
        <f t="shared" si="188"/>
        <v>0.17149263680091312</v>
      </c>
      <c r="BB37" s="67">
        <f t="shared" si="188"/>
        <v>0.20091737341511268</v>
      </c>
      <c r="BC37" s="67">
        <f>BB37-BA37</f>
        <v>2.9424736614199559E-2</v>
      </c>
      <c r="BD37" s="67"/>
      <c r="BF37" s="66" t="s">
        <v>30</v>
      </c>
      <c r="BG37" s="87">
        <v>3.6087695173992398E-7</v>
      </c>
      <c r="BH37" s="101" t="s">
        <v>13</v>
      </c>
      <c r="BJ37" s="105"/>
      <c r="BK37" s="67">
        <f>MAX(BK6:BK8,BK10:BK12,BK14:BK16,BK18:BK20,BK23:BK25,BK27:BK29)</f>
        <v>1350240897.6998947</v>
      </c>
      <c r="BL37" s="91">
        <f t="shared" ref="BL37:BO37" si="189">MAX(BL6:BL8,BL10:BL12,BL14:BL16,BL18:BL20,BL23:BL25,BL27:BL29)</f>
        <v>191019964.5931198</v>
      </c>
      <c r="BM37" s="91">
        <f t="shared" si="189"/>
        <v>1.5412608622930146</v>
      </c>
      <c r="BN37" s="91">
        <f t="shared" si="189"/>
        <v>1.8381953982879984</v>
      </c>
      <c r="BO37" s="91">
        <f t="shared" si="189"/>
        <v>0.48757084109115634</v>
      </c>
      <c r="BQ37" s="66" t="s">
        <v>38</v>
      </c>
      <c r="BR37" s="94">
        <v>0.19343493091051903</v>
      </c>
      <c r="BS37" s="101" t="s">
        <v>13</v>
      </c>
      <c r="CC37" s="1" t="s">
        <v>27</v>
      </c>
      <c r="CG37" s="67">
        <f>SUM(CG34:CG36)</f>
        <v>163430038.44000003</v>
      </c>
      <c r="CH37" s="67">
        <f t="shared" ref="CH37:CJ37" si="190">SUM(CH34:CH36)</f>
        <v>8062598.3609130885</v>
      </c>
      <c r="CI37" s="67">
        <f t="shared" si="190"/>
        <v>0.17149263680091312</v>
      </c>
      <c r="CJ37" s="67">
        <f t="shared" si="190"/>
        <v>0.3335171335595154</v>
      </c>
      <c r="CK37" s="67">
        <f>CJ37-CI37</f>
        <v>0.16202449675860228</v>
      </c>
      <c r="CL37" s="67"/>
      <c r="CN37" s="66" t="s">
        <v>30</v>
      </c>
      <c r="CO37" s="91">
        <v>3.6087695173992398E-7</v>
      </c>
      <c r="CP37" s="101" t="s">
        <v>13</v>
      </c>
      <c r="CR37" s="105"/>
      <c r="CS37" s="67">
        <f>MAX(CS6:CS8,CS10:CS12,CS14:CS16,CS18:CS20,CS23:CS25,CS27:CS29)</f>
        <v>1350240897.6998947</v>
      </c>
      <c r="CT37" s="91">
        <f t="shared" ref="CT37:CW37" si="191">MAX(CT6:CT8,CT10:CT12,CT14:CT16,CT18:CT20,CT23:CT25,CT27:CT29)</f>
        <v>191019964.5931198</v>
      </c>
      <c r="CU37" s="91">
        <f t="shared" si="191"/>
        <v>1.5412608622930146</v>
      </c>
      <c r="CV37" s="91">
        <f t="shared" si="191"/>
        <v>2.9639319316250567</v>
      </c>
      <c r="CW37" s="91">
        <f t="shared" si="191"/>
        <v>1.6133073744282147</v>
      </c>
    </row>
    <row r="38" spans="1:101" ht="16" x14ac:dyDescent="0.4">
      <c r="L38" s="66">
        <v>2019</v>
      </c>
      <c r="M38" s="66" t="s">
        <v>22</v>
      </c>
      <c r="N38" s="66">
        <v>100720.79</v>
      </c>
      <c r="O38" s="67">
        <v>2157170000</v>
      </c>
      <c r="X38" s="66" t="s">
        <v>37</v>
      </c>
      <c r="Y38" s="17">
        <v>4.8710000000000003E-2</v>
      </c>
      <c r="Z38" s="101" t="s">
        <v>13</v>
      </c>
      <c r="AB38" s="29"/>
      <c r="AT38" s="66">
        <v>2019</v>
      </c>
      <c r="AU38" s="66" t="s">
        <v>22</v>
      </c>
      <c r="AV38" s="66">
        <v>100720.79</v>
      </c>
      <c r="AW38" s="67">
        <v>2157170000</v>
      </c>
      <c r="BF38" s="66" t="s">
        <v>37</v>
      </c>
      <c r="BG38" s="17">
        <v>4.8710000000000003E-2</v>
      </c>
      <c r="BH38" s="101" t="s">
        <v>13</v>
      </c>
      <c r="BJ38" s="29"/>
      <c r="CB38" s="66">
        <v>2019</v>
      </c>
      <c r="CC38" s="66" t="s">
        <v>22</v>
      </c>
      <c r="CD38" s="66">
        <v>100720.79</v>
      </c>
      <c r="CE38" s="67">
        <v>2157170000</v>
      </c>
      <c r="CN38" s="66" t="s">
        <v>37</v>
      </c>
      <c r="CO38" s="17">
        <v>4.8710000000000003E-2</v>
      </c>
      <c r="CP38" s="101" t="s">
        <v>13</v>
      </c>
      <c r="CR38" s="29"/>
    </row>
    <row r="39" spans="1:101" x14ac:dyDescent="0.35">
      <c r="M39" s="66" t="s">
        <v>17</v>
      </c>
      <c r="N39" s="66">
        <v>50042.92</v>
      </c>
      <c r="O39" s="67">
        <v>1036790000</v>
      </c>
      <c r="P39" s="66">
        <v>10024.9</v>
      </c>
      <c r="Q39" s="67">
        <f>O39*$M$49</f>
        <v>50502040.900000006</v>
      </c>
      <c r="R39" s="67">
        <f>O39*P39*$M$48</f>
        <v>3750852.5729527394</v>
      </c>
      <c r="S39" s="67">
        <f t="shared" ref="S39:S42" si="192">SUM(Q39:R39)*0.000000001</f>
        <v>5.425289347295275E-2</v>
      </c>
      <c r="T39" s="67">
        <f t="shared" ref="T39:T42" si="193">O39*$M$50*0.000000001</f>
        <v>7.915562198585166E-2</v>
      </c>
      <c r="X39" s="66" t="s">
        <v>38</v>
      </c>
      <c r="Y39" s="98">
        <v>8.34192794033249E-2</v>
      </c>
      <c r="Z39" s="101" t="s">
        <v>13</v>
      </c>
      <c r="AU39" s="66" t="s">
        <v>17</v>
      </c>
      <c r="AV39" s="66">
        <v>50042.92</v>
      </c>
      <c r="AW39" s="67">
        <v>1036790000</v>
      </c>
      <c r="AX39" s="66">
        <v>10024.9</v>
      </c>
      <c r="AY39" s="91">
        <f t="shared" ref="AY39:AY42" si="194">AW39*AU$49</f>
        <v>50502040.900000006</v>
      </c>
      <c r="AZ39" s="91">
        <f t="shared" ref="AZ39:AZ42" si="195">AW39*AX39*AU$48</f>
        <v>3750852.5729527394</v>
      </c>
      <c r="BA39" s="91">
        <f t="shared" ref="BA39:BA42" si="196">SUM(AY39:AZ39)*0.000000001</f>
        <v>5.425289347295275E-2</v>
      </c>
      <c r="BB39" s="91">
        <f t="shared" ref="BB39:BB42" si="197">AW39*AU$50*0.000000001</f>
        <v>6.2086122640519111E-2</v>
      </c>
      <c r="BF39" s="66" t="s">
        <v>38</v>
      </c>
      <c r="BG39" s="99">
        <v>6.6312980152752915E-2</v>
      </c>
      <c r="BH39" s="101" t="s">
        <v>13</v>
      </c>
      <c r="CC39" s="66" t="s">
        <v>17</v>
      </c>
      <c r="CD39" s="66">
        <v>50042.92</v>
      </c>
      <c r="CE39" s="67">
        <v>1036790000</v>
      </c>
      <c r="CF39" s="66">
        <v>10024.9</v>
      </c>
      <c r="CG39" s="91">
        <f t="shared" ref="CG39:CG42" si="198">CE39*CC$49</f>
        <v>50502040.900000006</v>
      </c>
      <c r="CH39" s="91">
        <f t="shared" ref="CH39:CH42" si="199">CE39*CF39*CC$48</f>
        <v>3750852.5729527394</v>
      </c>
      <c r="CI39" s="91">
        <f t="shared" ref="CI39:CI42" si="200">SUM(CG39:CH39)*0.000000001</f>
        <v>5.425289347295275E-2</v>
      </c>
      <c r="CJ39" s="91">
        <f t="shared" ref="CJ39:CJ42" si="201">CE39*CC$50*0.000000001</f>
        <v>0.10306120025821985</v>
      </c>
      <c r="CN39" s="66" t="s">
        <v>38</v>
      </c>
      <c r="CO39" s="100">
        <v>0.10692397529610673</v>
      </c>
      <c r="CP39" s="101" t="s">
        <v>13</v>
      </c>
    </row>
    <row r="40" spans="1:101" ht="16.5" customHeight="1" x14ac:dyDescent="0.35">
      <c r="M40" s="66" t="s">
        <v>18</v>
      </c>
      <c r="N40" s="66">
        <v>21347.59</v>
      </c>
      <c r="O40" s="67">
        <v>616643000</v>
      </c>
      <c r="P40" s="66">
        <v>4511.93</v>
      </c>
      <c r="Q40" s="67">
        <f t="shared" ref="Q40:Q42" si="202">O40*$M$49</f>
        <v>30036680.530000001</v>
      </c>
      <c r="R40" s="67">
        <f t="shared" ref="R40:R42" si="203">O40*P40*$M$48</f>
        <v>1004049.9173795193</v>
      </c>
      <c r="S40" s="67">
        <f t="shared" si="192"/>
        <v>3.1040730447379525E-2</v>
      </c>
      <c r="T40" s="67">
        <f t="shared" si="193"/>
        <v>4.7078733599110266E-2</v>
      </c>
      <c r="AB40" s="29"/>
      <c r="AC40" s="1"/>
      <c r="AD40" s="1"/>
      <c r="AE40" s="1"/>
      <c r="AF40" s="1"/>
      <c r="AG40" s="19"/>
      <c r="AU40" s="66" t="s">
        <v>18</v>
      </c>
      <c r="AV40" s="66">
        <v>21347.59</v>
      </c>
      <c r="AW40" s="67">
        <v>616643000</v>
      </c>
      <c r="AX40" s="66">
        <v>4511.93</v>
      </c>
      <c r="AY40" s="91">
        <f t="shared" si="194"/>
        <v>30036680.530000001</v>
      </c>
      <c r="AZ40" s="91">
        <f t="shared" si="195"/>
        <v>1004049.9173795193</v>
      </c>
      <c r="BA40" s="91">
        <f t="shared" si="196"/>
        <v>3.1040730447379525E-2</v>
      </c>
      <c r="BB40" s="91">
        <f t="shared" si="197"/>
        <v>3.692644886950841E-2</v>
      </c>
      <c r="BJ40" s="29"/>
      <c r="BK40" s="1"/>
      <c r="BL40" s="1"/>
      <c r="BM40" s="1"/>
      <c r="BN40" s="1"/>
      <c r="BO40" s="19"/>
      <c r="CC40" s="66" t="s">
        <v>18</v>
      </c>
      <c r="CD40" s="66">
        <v>21347.59</v>
      </c>
      <c r="CE40" s="67">
        <v>616643000</v>
      </c>
      <c r="CF40" s="66">
        <v>4511.93</v>
      </c>
      <c r="CG40" s="91">
        <f t="shared" si="198"/>
        <v>30036680.530000001</v>
      </c>
      <c r="CH40" s="91">
        <f t="shared" si="199"/>
        <v>1004049.9173795193</v>
      </c>
      <c r="CI40" s="91">
        <f t="shared" si="200"/>
        <v>3.1040730447379525E-2</v>
      </c>
      <c r="CJ40" s="91">
        <f t="shared" si="201"/>
        <v>6.1296856365155403E-2</v>
      </c>
      <c r="CR40" s="29"/>
      <c r="CS40" s="1"/>
      <c r="CT40" s="1"/>
      <c r="CU40" s="1"/>
      <c r="CV40" s="1"/>
      <c r="CW40" s="19"/>
    </row>
    <row r="41" spans="1:101" x14ac:dyDescent="0.35">
      <c r="M41" s="66" t="s">
        <v>23</v>
      </c>
      <c r="N41" s="66">
        <v>17963.939999999999</v>
      </c>
      <c r="O41" s="67">
        <v>448077000</v>
      </c>
      <c r="P41" s="66">
        <v>3493.52</v>
      </c>
      <c r="Q41" s="67">
        <f t="shared" si="202"/>
        <v>21825830.670000002</v>
      </c>
      <c r="R41" s="67">
        <f t="shared" si="203"/>
        <v>564904.49637755181</v>
      </c>
      <c r="S41" s="67">
        <f t="shared" si="192"/>
        <v>2.2390735166377553E-2</v>
      </c>
      <c r="T41" s="67">
        <f t="shared" si="193"/>
        <v>3.4209255136097433E-2</v>
      </c>
      <c r="AB41" s="29"/>
      <c r="AC41" s="1"/>
      <c r="AD41" s="1"/>
      <c r="AE41" s="1"/>
      <c r="AF41" s="1"/>
      <c r="AG41" s="1"/>
      <c r="AU41" s="66" t="s">
        <v>23</v>
      </c>
      <c r="AV41" s="66">
        <v>17963.939999999999</v>
      </c>
      <c r="AW41" s="67">
        <v>448077000</v>
      </c>
      <c r="AX41" s="66">
        <v>3493.52</v>
      </c>
      <c r="AY41" s="91">
        <f t="shared" si="194"/>
        <v>21825830.670000002</v>
      </c>
      <c r="AZ41" s="91">
        <f t="shared" si="195"/>
        <v>564904.49637755181</v>
      </c>
      <c r="BA41" s="91">
        <f t="shared" si="196"/>
        <v>2.2390735166377553E-2</v>
      </c>
      <c r="BB41" s="91">
        <f t="shared" si="197"/>
        <v>2.6832206690261172E-2</v>
      </c>
      <c r="BJ41" s="29"/>
      <c r="BK41" s="1"/>
      <c r="BL41" s="1"/>
      <c r="BM41" s="1"/>
      <c r="BN41" s="1"/>
      <c r="BO41" s="1"/>
      <c r="CC41" s="66" t="s">
        <v>23</v>
      </c>
      <c r="CD41" s="66">
        <v>17963.939999999999</v>
      </c>
      <c r="CE41" s="67">
        <v>448077000</v>
      </c>
      <c r="CF41" s="66">
        <v>3493.52</v>
      </c>
      <c r="CG41" s="91">
        <f t="shared" si="198"/>
        <v>21825830.670000002</v>
      </c>
      <c r="CH41" s="91">
        <f t="shared" si="199"/>
        <v>564904.49637755181</v>
      </c>
      <c r="CI41" s="91">
        <f t="shared" si="200"/>
        <v>2.2390735166377553E-2</v>
      </c>
      <c r="CJ41" s="91">
        <f t="shared" si="201"/>
        <v>4.454070103695288E-2</v>
      </c>
      <c r="CR41" s="29"/>
      <c r="CS41" s="1"/>
      <c r="CT41" s="1"/>
      <c r="CU41" s="1"/>
      <c r="CV41" s="1"/>
      <c r="CW41" s="1"/>
    </row>
    <row r="42" spans="1:101" x14ac:dyDescent="0.35">
      <c r="M42" s="66" t="s">
        <v>21</v>
      </c>
      <c r="N42" s="66">
        <v>1846.82</v>
      </c>
      <c r="O42" s="67">
        <v>26129000</v>
      </c>
      <c r="P42" s="66">
        <v>2839.27</v>
      </c>
      <c r="Q42" s="67">
        <f t="shared" si="202"/>
        <v>1272743.5900000001</v>
      </c>
      <c r="R42" s="67">
        <f t="shared" si="203"/>
        <v>26772.481568188858</v>
      </c>
      <c r="S42" s="67">
        <f t="shared" si="192"/>
        <v>1.299516071568189E-3</v>
      </c>
      <c r="T42" s="67">
        <f t="shared" si="193"/>
        <v>1.9948661222314243E-3</v>
      </c>
      <c r="AB42" s="29"/>
      <c r="AC42" s="91"/>
      <c r="AD42" s="91"/>
      <c r="AE42" s="91"/>
      <c r="AF42" s="91"/>
      <c r="AG42" s="91"/>
      <c r="AU42" s="66" t="s">
        <v>21</v>
      </c>
      <c r="AV42" s="66">
        <v>1846.82</v>
      </c>
      <c r="AW42" s="67">
        <v>26129000</v>
      </c>
      <c r="AX42" s="66">
        <v>2839.27</v>
      </c>
      <c r="AY42" s="91">
        <f t="shared" si="194"/>
        <v>1272743.5900000001</v>
      </c>
      <c r="AZ42" s="91">
        <f t="shared" si="195"/>
        <v>26772.481568188858</v>
      </c>
      <c r="BA42" s="91">
        <f t="shared" si="196"/>
        <v>1.299516071568189E-3</v>
      </c>
      <c r="BB42" s="91">
        <f t="shared" si="197"/>
        <v>1.5646835892264815E-3</v>
      </c>
      <c r="BJ42" s="29"/>
      <c r="BK42" s="91"/>
      <c r="BL42" s="91"/>
      <c r="BM42" s="91"/>
      <c r="BN42" s="91"/>
      <c r="BO42" s="91"/>
      <c r="CC42" s="66" t="s">
        <v>21</v>
      </c>
      <c r="CD42" s="66">
        <v>1846.82</v>
      </c>
      <c r="CE42" s="67">
        <v>26129000</v>
      </c>
      <c r="CF42" s="66">
        <v>2839.27</v>
      </c>
      <c r="CG42" s="91">
        <f t="shared" si="198"/>
        <v>1272743.5900000001</v>
      </c>
      <c r="CH42" s="91">
        <f t="shared" si="199"/>
        <v>26772.481568188858</v>
      </c>
      <c r="CI42" s="91">
        <f t="shared" si="200"/>
        <v>1.299516071568189E-3</v>
      </c>
      <c r="CJ42" s="91">
        <f t="shared" si="201"/>
        <v>2.5973303191070773E-3</v>
      </c>
      <c r="CR42" s="29"/>
      <c r="CS42" s="91"/>
      <c r="CT42" s="91"/>
      <c r="CU42" s="91"/>
      <c r="CV42" s="91"/>
      <c r="CW42" s="91"/>
    </row>
    <row r="43" spans="1:101" x14ac:dyDescent="0.35">
      <c r="M43" s="1" t="s">
        <v>27</v>
      </c>
      <c r="Q43" s="67">
        <f>SUM(Q39:Q42)</f>
        <v>103637295.69000001</v>
      </c>
      <c r="R43" s="67">
        <f t="shared" ref="R43:T43" si="204">SUM(R39:R42)</f>
        <v>5346579.4682779992</v>
      </c>
      <c r="S43" s="67">
        <f t="shared" si="204"/>
        <v>0.108983875158278</v>
      </c>
      <c r="T43" s="67">
        <f t="shared" si="204"/>
        <v>0.1624384768432908</v>
      </c>
      <c r="U43" s="67">
        <f>T43-S43</f>
        <v>5.3454601685012801E-2</v>
      </c>
      <c r="V43" s="67"/>
      <c r="AB43" s="29"/>
      <c r="AC43" s="1"/>
      <c r="AD43" s="1"/>
      <c r="AE43" s="1"/>
      <c r="AF43" s="1"/>
      <c r="AG43" s="1"/>
      <c r="AU43" s="1" t="s">
        <v>27</v>
      </c>
      <c r="AY43" s="67">
        <f>SUM(AY39:AY42)</f>
        <v>103637295.69000001</v>
      </c>
      <c r="AZ43" s="67">
        <f t="shared" ref="AZ43:BB43" si="205">SUM(AZ39:AZ42)</f>
        <v>5346579.4682779992</v>
      </c>
      <c r="BA43" s="67">
        <f t="shared" si="205"/>
        <v>0.108983875158278</v>
      </c>
      <c r="BB43" s="67">
        <f t="shared" si="205"/>
        <v>0.12740946178951518</v>
      </c>
      <c r="BC43" s="67">
        <f>BB43-BA43</f>
        <v>1.8425586631237181E-2</v>
      </c>
      <c r="BD43" s="67"/>
      <c r="BJ43" s="29"/>
      <c r="BK43" s="1"/>
      <c r="BL43" s="1"/>
      <c r="BM43" s="1"/>
      <c r="BN43" s="1"/>
      <c r="BO43" s="1"/>
      <c r="CC43" s="1" t="s">
        <v>27</v>
      </c>
      <c r="CG43" s="67">
        <f>SUM(CG39:CG42)</f>
        <v>103637295.69000001</v>
      </c>
      <c r="CH43" s="67">
        <f t="shared" ref="CH43:CJ43" si="206">SUM(CH39:CH42)</f>
        <v>5346579.4682779992</v>
      </c>
      <c r="CI43" s="67">
        <f t="shared" si="206"/>
        <v>0.108983875158278</v>
      </c>
      <c r="CJ43" s="67">
        <f t="shared" si="206"/>
        <v>0.21149608797943523</v>
      </c>
      <c r="CK43" s="67">
        <f>CJ43-CI43</f>
        <v>0.10251221282115723</v>
      </c>
      <c r="CL43" s="67"/>
      <c r="CR43" s="29"/>
      <c r="CS43" s="1"/>
      <c r="CT43" s="1"/>
      <c r="CU43" s="1"/>
      <c r="CV43" s="1"/>
      <c r="CW43" s="1"/>
    </row>
    <row r="44" spans="1:101" x14ac:dyDescent="0.35">
      <c r="AB44" s="29"/>
      <c r="AC44" s="91"/>
      <c r="AD44" s="91"/>
      <c r="AE44" s="91"/>
      <c r="AF44" s="91"/>
      <c r="AG44" s="91"/>
      <c r="BJ44" s="29"/>
      <c r="BK44" s="91"/>
      <c r="BL44" s="91"/>
      <c r="BM44" s="91"/>
      <c r="BN44" s="91"/>
      <c r="BO44" s="91"/>
      <c r="CR44" s="29"/>
      <c r="CS44" s="91"/>
      <c r="CT44" s="91"/>
      <c r="CU44" s="91"/>
      <c r="CV44" s="91"/>
      <c r="CW44" s="91"/>
    </row>
    <row r="45" spans="1:101" ht="16.5" x14ac:dyDescent="0.35">
      <c r="C45" s="21"/>
      <c r="Q45" s="1" t="s">
        <v>59</v>
      </c>
      <c r="R45" s="1" t="s">
        <v>60</v>
      </c>
      <c r="S45" s="1" t="s">
        <v>61</v>
      </c>
      <c r="T45" s="1" t="s">
        <v>61</v>
      </c>
      <c r="U45" s="19" t="s">
        <v>62</v>
      </c>
      <c r="V45" s="19"/>
      <c r="AB45" s="29"/>
      <c r="AC45" s="1"/>
      <c r="AD45" s="1"/>
      <c r="AE45" s="1"/>
      <c r="AF45" s="1"/>
      <c r="AG45" s="1"/>
      <c r="AK45" s="21"/>
      <c r="AY45" s="1" t="s">
        <v>59</v>
      </c>
      <c r="AZ45" s="1" t="s">
        <v>60</v>
      </c>
      <c r="BA45" s="1" t="s">
        <v>61</v>
      </c>
      <c r="BB45" s="1" t="s">
        <v>61</v>
      </c>
      <c r="BC45" s="19" t="s">
        <v>62</v>
      </c>
      <c r="BD45" s="19"/>
      <c r="BJ45" s="29"/>
      <c r="BK45" s="1"/>
      <c r="BL45" s="1"/>
      <c r="BM45" s="1"/>
      <c r="BN45" s="1"/>
      <c r="BO45" s="1"/>
      <c r="BS45" s="21"/>
      <c r="CG45" s="1" t="s">
        <v>59</v>
      </c>
      <c r="CH45" s="1" t="s">
        <v>60</v>
      </c>
      <c r="CI45" s="1" t="s">
        <v>61</v>
      </c>
      <c r="CJ45" s="1" t="s">
        <v>61</v>
      </c>
      <c r="CK45" s="19" t="s">
        <v>62</v>
      </c>
      <c r="CL45" s="19"/>
      <c r="CR45" s="29"/>
      <c r="CS45" s="1"/>
      <c r="CT45" s="1"/>
      <c r="CU45" s="1"/>
      <c r="CV45" s="1"/>
      <c r="CW45" s="1"/>
    </row>
    <row r="46" spans="1:101" x14ac:dyDescent="0.35">
      <c r="C46" s="22"/>
      <c r="Q46" s="1" t="s">
        <v>42</v>
      </c>
      <c r="R46" s="1" t="s">
        <v>42</v>
      </c>
      <c r="S46" s="1" t="s">
        <v>42</v>
      </c>
      <c r="T46" s="1" t="s">
        <v>42</v>
      </c>
      <c r="U46" s="1" t="s">
        <v>42</v>
      </c>
      <c r="V46" s="1"/>
      <c r="AB46" s="29"/>
      <c r="AC46" s="91"/>
      <c r="AD46" s="91"/>
      <c r="AE46" s="91"/>
      <c r="AF46" s="91"/>
      <c r="AG46" s="91"/>
      <c r="AK46" s="22"/>
      <c r="AY46" s="1" t="s">
        <v>42</v>
      </c>
      <c r="AZ46" s="1" t="s">
        <v>42</v>
      </c>
      <c r="BA46" s="1" t="s">
        <v>42</v>
      </c>
      <c r="BB46" s="1" t="s">
        <v>42</v>
      </c>
      <c r="BC46" s="1" t="s">
        <v>42</v>
      </c>
      <c r="BD46" s="1"/>
      <c r="BJ46" s="29"/>
      <c r="BK46" s="91"/>
      <c r="BL46" s="91"/>
      <c r="BM46" s="91"/>
      <c r="BN46" s="91"/>
      <c r="BO46" s="91"/>
      <c r="BS46" s="22"/>
      <c r="CG46" s="1" t="s">
        <v>42</v>
      </c>
      <c r="CH46" s="1" t="s">
        <v>42</v>
      </c>
      <c r="CI46" s="1" t="s">
        <v>42</v>
      </c>
      <c r="CJ46" s="1" t="s">
        <v>42</v>
      </c>
      <c r="CK46" s="1" t="s">
        <v>42</v>
      </c>
      <c r="CL46" s="1"/>
      <c r="CR46" s="29"/>
      <c r="CS46" s="91"/>
      <c r="CT46" s="91"/>
      <c r="CU46" s="91"/>
      <c r="CV46" s="91"/>
      <c r="CW46" s="91"/>
    </row>
    <row r="47" spans="1:101" x14ac:dyDescent="0.35">
      <c r="B47" s="16"/>
      <c r="C47" s="21"/>
      <c r="L47" s="66" t="s">
        <v>36</v>
      </c>
      <c r="M47" s="66" t="s">
        <v>39</v>
      </c>
      <c r="N47" s="66" t="s">
        <v>9</v>
      </c>
      <c r="Q47" s="67">
        <f>MIN(Q11,Q19,Q26,Q32,Q37,Q43)</f>
        <v>103637295.69000001</v>
      </c>
      <c r="R47" s="67">
        <f t="shared" ref="R47:U47" si="207">MIN(R11,R19,R26,R32,R37,R43)</f>
        <v>5346579.4682779992</v>
      </c>
      <c r="S47" s="67">
        <f t="shared" si="207"/>
        <v>0.108983875158278</v>
      </c>
      <c r="T47" s="67">
        <f t="shared" si="207"/>
        <v>0.1624384768432908</v>
      </c>
      <c r="U47" s="67">
        <f t="shared" si="207"/>
        <v>5.3454601685012801E-2</v>
      </c>
      <c r="V47" s="67"/>
      <c r="AJ47" s="16"/>
      <c r="AK47" s="21"/>
      <c r="AT47" s="66" t="s">
        <v>36</v>
      </c>
      <c r="AU47" s="66" t="s">
        <v>39</v>
      </c>
      <c r="AV47" s="66" t="s">
        <v>9</v>
      </c>
      <c r="AY47" s="67">
        <f>MIN(AY11,AY19,AY26,AY32,AY37,AY43)</f>
        <v>103637295.69000001</v>
      </c>
      <c r="AZ47" s="67">
        <f t="shared" ref="AZ47:BC47" si="208">MIN(AZ11,AZ19,AZ26,AZ32,AZ37,AZ43)</f>
        <v>5346579.4682779992</v>
      </c>
      <c r="BA47" s="67">
        <f t="shared" si="208"/>
        <v>0.108983875158278</v>
      </c>
      <c r="BB47" s="67">
        <f t="shared" si="208"/>
        <v>0.12740946178951518</v>
      </c>
      <c r="BC47" s="67">
        <f t="shared" si="208"/>
        <v>1.8425586631237181E-2</v>
      </c>
      <c r="BD47" s="67"/>
      <c r="BR47" s="16"/>
      <c r="BS47" s="21"/>
      <c r="CB47" s="66" t="s">
        <v>36</v>
      </c>
      <c r="CC47" s="66" t="s">
        <v>39</v>
      </c>
      <c r="CD47" s="66" t="s">
        <v>9</v>
      </c>
      <c r="CG47" s="67">
        <f>MIN(CG11,CG19,CG26,CG32,CG37,CG43)</f>
        <v>103637295.69000001</v>
      </c>
      <c r="CH47" s="67">
        <f t="shared" ref="CH47:CK47" si="209">MIN(CH11,CH19,CH26,CH32,CH37,CH43)</f>
        <v>5346579.4682779992</v>
      </c>
      <c r="CI47" s="67">
        <f t="shared" si="209"/>
        <v>0.108983875158278</v>
      </c>
      <c r="CJ47" s="67">
        <f t="shared" si="209"/>
        <v>0.21149608797943523</v>
      </c>
      <c r="CK47" s="67">
        <f t="shared" si="209"/>
        <v>0.10251221282115723</v>
      </c>
      <c r="CL47" s="67"/>
    </row>
    <row r="48" spans="1:101" x14ac:dyDescent="0.35">
      <c r="C48" s="21"/>
      <c r="L48" s="66" t="s">
        <v>30</v>
      </c>
      <c r="M48" s="83">
        <v>3.6087695173992398E-7</v>
      </c>
      <c r="N48" s="101" t="s">
        <v>13</v>
      </c>
      <c r="Q48" s="1" t="s">
        <v>41</v>
      </c>
      <c r="R48" s="1" t="s">
        <v>41</v>
      </c>
      <c r="S48" s="1" t="s">
        <v>41</v>
      </c>
      <c r="T48" s="1" t="s">
        <v>41</v>
      </c>
      <c r="U48" s="1" t="s">
        <v>41</v>
      </c>
      <c r="V48" s="1"/>
      <c r="AK48" s="21"/>
      <c r="AT48" s="66" t="s">
        <v>30</v>
      </c>
      <c r="AU48" s="86">
        <v>3.6087695173992398E-7</v>
      </c>
      <c r="AV48" s="101" t="s">
        <v>13</v>
      </c>
      <c r="AY48" s="1" t="s">
        <v>41</v>
      </c>
      <c r="AZ48" s="1" t="s">
        <v>41</v>
      </c>
      <c r="BA48" s="1" t="s">
        <v>41</v>
      </c>
      <c r="BB48" s="1" t="s">
        <v>41</v>
      </c>
      <c r="BC48" s="1" t="s">
        <v>41</v>
      </c>
      <c r="BD48" s="1"/>
      <c r="BS48" s="21"/>
      <c r="CB48" s="66" t="s">
        <v>30</v>
      </c>
      <c r="CC48" s="89">
        <v>3.6087695173992398E-7</v>
      </c>
      <c r="CD48" s="101" t="s">
        <v>13</v>
      </c>
      <c r="CG48" s="1" t="s">
        <v>41</v>
      </c>
      <c r="CH48" s="1" t="s">
        <v>41</v>
      </c>
      <c r="CI48" s="1" t="s">
        <v>41</v>
      </c>
      <c r="CJ48" s="1" t="s">
        <v>41</v>
      </c>
      <c r="CK48" s="1" t="s">
        <v>41</v>
      </c>
      <c r="CL48" s="1"/>
    </row>
    <row r="49" spans="3:90" ht="16" x14ac:dyDescent="0.4">
      <c r="C49" s="21"/>
      <c r="L49" s="66" t="s">
        <v>37</v>
      </c>
      <c r="M49" s="17">
        <v>4.8710000000000003E-2</v>
      </c>
      <c r="N49" s="101" t="s">
        <v>13</v>
      </c>
      <c r="Q49" s="67">
        <f>MEDIAN(Q11,Q19,Q26,Q32,Q37,Q43)</f>
        <v>175833287.37050003</v>
      </c>
      <c r="R49" s="67">
        <f t="shared" ref="R49:U49" si="210">MEDIAN(R11,R19,R26,R32,R37,R43)</f>
        <v>9103110.8648582362</v>
      </c>
      <c r="S49" s="67">
        <f t="shared" si="210"/>
        <v>0.18493639823535826</v>
      </c>
      <c r="T49" s="67">
        <f t="shared" si="210"/>
        <v>0.27559664876095979</v>
      </c>
      <c r="U49" s="67">
        <f t="shared" si="210"/>
        <v>9.0660250525601532E-2</v>
      </c>
      <c r="V49" s="67"/>
      <c r="AK49" s="21"/>
      <c r="AT49" s="66" t="s">
        <v>37</v>
      </c>
      <c r="AU49" s="17">
        <v>4.8710000000000003E-2</v>
      </c>
      <c r="AV49" s="101" t="s">
        <v>13</v>
      </c>
      <c r="AY49" s="67">
        <f>MEDIAN(AY11,AY19,AY26,AY32,AY37,AY43)</f>
        <v>175833287.37050003</v>
      </c>
      <c r="AZ49" s="67">
        <f t="shared" ref="AZ49:BC49" si="211">MEDIAN(AZ11,AZ19,AZ26,AZ32,AZ37,AZ43)</f>
        <v>9103110.8648582362</v>
      </c>
      <c r="BA49" s="67">
        <f t="shared" si="211"/>
        <v>0.18493639823535826</v>
      </c>
      <c r="BB49" s="67">
        <f t="shared" si="211"/>
        <v>0.2161656608212541</v>
      </c>
      <c r="BC49" s="67">
        <f t="shared" si="211"/>
        <v>3.1229262585895839E-2</v>
      </c>
      <c r="BD49" s="67"/>
      <c r="BS49" s="21"/>
      <c r="CB49" s="66" t="s">
        <v>37</v>
      </c>
      <c r="CC49" s="17">
        <v>4.8710000000000003E-2</v>
      </c>
      <c r="CD49" s="101" t="s">
        <v>13</v>
      </c>
      <c r="CG49" s="67">
        <f>MEDIAN(CG11,CG19,CG26,CG32,CG37,CG43)</f>
        <v>175833287.37050003</v>
      </c>
      <c r="CH49" s="67">
        <f t="shared" ref="CH49:CK49" si="212">MEDIAN(CH11,CH19,CH26,CH32,CH37,CH43)</f>
        <v>9103110.8648582362</v>
      </c>
      <c r="CI49" s="67">
        <f t="shared" si="212"/>
        <v>0.18493639823535826</v>
      </c>
      <c r="CJ49" s="67">
        <f t="shared" si="212"/>
        <v>0.3588288575829065</v>
      </c>
      <c r="CK49" s="67">
        <f t="shared" si="212"/>
        <v>0.17389245934754824</v>
      </c>
      <c r="CL49" s="67"/>
    </row>
    <row r="50" spans="3:90" x14ac:dyDescent="0.35">
      <c r="C50" s="21"/>
      <c r="L50" s="66" t="s">
        <v>38</v>
      </c>
      <c r="M50" s="95">
        <v>7.6346822390119182E-2</v>
      </c>
      <c r="N50" s="101" t="s">
        <v>13</v>
      </c>
      <c r="Q50" s="1" t="s">
        <v>43</v>
      </c>
      <c r="R50" s="1" t="s">
        <v>43</v>
      </c>
      <c r="S50" s="1" t="s">
        <v>43</v>
      </c>
      <c r="T50" s="1" t="s">
        <v>43</v>
      </c>
      <c r="U50" s="1" t="s">
        <v>43</v>
      </c>
      <c r="V50" s="1"/>
      <c r="AK50" s="21"/>
      <c r="AT50" s="66" t="s">
        <v>38</v>
      </c>
      <c r="AU50" s="96">
        <v>5.9883026109934609E-2</v>
      </c>
      <c r="AV50" s="101" t="s">
        <v>13</v>
      </c>
      <c r="AY50" s="1" t="s">
        <v>43</v>
      </c>
      <c r="AZ50" s="1" t="s">
        <v>43</v>
      </c>
      <c r="BA50" s="1" t="s">
        <v>43</v>
      </c>
      <c r="BB50" s="1" t="s">
        <v>43</v>
      </c>
      <c r="BC50" s="1" t="s">
        <v>43</v>
      </c>
      <c r="BD50" s="1"/>
      <c r="BS50" s="21"/>
      <c r="CB50" s="66" t="s">
        <v>38</v>
      </c>
      <c r="CC50" s="97">
        <v>9.9404122588199972E-2</v>
      </c>
      <c r="CD50" s="101" t="s">
        <v>13</v>
      </c>
      <c r="CG50" s="1" t="s">
        <v>43</v>
      </c>
      <c r="CH50" s="1" t="s">
        <v>43</v>
      </c>
      <c r="CI50" s="1" t="s">
        <v>43</v>
      </c>
      <c r="CJ50" s="1" t="s">
        <v>43</v>
      </c>
      <c r="CK50" s="1" t="s">
        <v>43</v>
      </c>
      <c r="CL50" s="1"/>
    </row>
    <row r="51" spans="3:90" x14ac:dyDescent="0.35">
      <c r="C51" s="21"/>
      <c r="Q51" s="67">
        <f>MAX(Q11,Q19,Q26,Q32,Q37,Q43)</f>
        <v>314175798.04000008</v>
      </c>
      <c r="R51" s="67">
        <f t="shared" ref="R51:U51" si="213">MAX(R11,R19,R26,R32,R37,R43)</f>
        <v>15957354.58223675</v>
      </c>
      <c r="S51" s="67">
        <f t="shared" si="213"/>
        <v>0.33013315262223675</v>
      </c>
      <c r="T51" s="67">
        <f t="shared" si="213"/>
        <v>0.49243120205776708</v>
      </c>
      <c r="U51" s="67">
        <f t="shared" si="213"/>
        <v>0.16229804943553033</v>
      </c>
      <c r="V51" s="67"/>
      <c r="AK51" s="21"/>
      <c r="AY51" s="67">
        <f>MAX(AY11,AY19,AY26,AY32,AY37,AY43)</f>
        <v>314175798.04000008</v>
      </c>
      <c r="AZ51" s="67">
        <f t="shared" ref="AZ51:BC51" si="214">MAX(AZ11,AZ19,AZ26,AZ32,AZ37,AZ43)</f>
        <v>15957354.58223675</v>
      </c>
      <c r="BA51" s="67">
        <f t="shared" si="214"/>
        <v>0.33013315262223675</v>
      </c>
      <c r="BB51" s="67">
        <f t="shared" si="214"/>
        <v>0.38624096729909391</v>
      </c>
      <c r="BC51" s="67">
        <f t="shared" si="214"/>
        <v>5.610781467685716E-2</v>
      </c>
      <c r="BD51" s="67"/>
      <c r="BS51" s="21"/>
      <c r="CG51" s="67">
        <f>MAX(CG11,CG19,CG26,CG32,CG37,CG43)</f>
        <v>314175798.04000008</v>
      </c>
      <c r="CH51" s="67">
        <f t="shared" ref="CH51:CK51" si="215">MAX(CH11,CH19,CH26,CH32,CH37,CH43)</f>
        <v>15957354.58223675</v>
      </c>
      <c r="CI51" s="67">
        <f t="shared" si="215"/>
        <v>0.33013315262223675</v>
      </c>
      <c r="CJ51" s="67">
        <f t="shared" si="215"/>
        <v>0.64114903598057316</v>
      </c>
      <c r="CK51" s="67">
        <f t="shared" si="215"/>
        <v>0.31101588335833641</v>
      </c>
      <c r="CL51" s="67"/>
    </row>
    <row r="52" spans="3:90" x14ac:dyDescent="0.35">
      <c r="C52" s="22"/>
      <c r="AK52" s="22"/>
      <c r="BS52" s="22"/>
    </row>
    <row r="53" spans="3:90" x14ac:dyDescent="0.35">
      <c r="C53" s="22"/>
      <c r="AK53" s="22"/>
      <c r="BS53" s="22"/>
    </row>
    <row r="54" spans="3:90" x14ac:dyDescent="0.35">
      <c r="C54" s="22"/>
    </row>
    <row r="55" spans="3:90" x14ac:dyDescent="0.35">
      <c r="C55" s="22"/>
    </row>
    <row r="56" spans="3:90" x14ac:dyDescent="0.35">
      <c r="C56" s="22"/>
    </row>
    <row r="57" spans="3:90" x14ac:dyDescent="0.35">
      <c r="C57" s="21"/>
    </row>
  </sheetData>
  <mergeCells count="17">
    <mergeCell ref="BQ2:BZ2"/>
    <mergeCell ref="CB2:CK2"/>
    <mergeCell ref="CN2:CW2"/>
    <mergeCell ref="E30:E36"/>
    <mergeCell ref="AM30:AM36"/>
    <mergeCell ref="BU30:BU36"/>
    <mergeCell ref="AB31:AB37"/>
    <mergeCell ref="BJ31:BJ37"/>
    <mergeCell ref="CR31:CR37"/>
    <mergeCell ref="A1:AG1"/>
    <mergeCell ref="AI1:BI1"/>
    <mergeCell ref="A2:J2"/>
    <mergeCell ref="L2:U2"/>
    <mergeCell ref="X2:AG2"/>
    <mergeCell ref="AI2:AR2"/>
    <mergeCell ref="AT2:BC2"/>
    <mergeCell ref="BF2:BO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8FB8-07BD-4D85-9427-3570FE006BB6}">
  <dimension ref="A1:CX57"/>
  <sheetViews>
    <sheetView topLeftCell="BD10" zoomScale="57" workbookViewId="0">
      <selection activeCell="BK48" sqref="BG48:BK57"/>
    </sheetView>
  </sheetViews>
  <sheetFormatPr defaultRowHeight="14.5" x14ac:dyDescent="0.35"/>
  <cols>
    <col min="1" max="1" width="24.54296875" style="55" customWidth="1"/>
    <col min="2" max="2" width="12.54296875" style="55" customWidth="1"/>
    <col min="3" max="3" width="20.08984375" style="55" bestFit="1" customWidth="1"/>
    <col min="4" max="4" width="13.6328125" style="55" bestFit="1" customWidth="1"/>
    <col min="5" max="5" width="21.453125" style="55" bestFit="1" customWidth="1"/>
    <col min="6" max="6" width="22" style="55" customWidth="1"/>
    <col min="7" max="7" width="23" style="55" customWidth="1"/>
    <col min="8" max="9" width="19.54296875" style="55" customWidth="1"/>
    <col min="10" max="10" width="16.26953125" style="55" customWidth="1"/>
    <col min="11" max="11" width="8.81640625" style="55" customWidth="1"/>
    <col min="12" max="12" width="8.7265625" style="55" customWidth="1"/>
    <col min="13" max="13" width="9.6328125" style="55" customWidth="1"/>
    <col min="14" max="15" width="16.1796875" style="55" customWidth="1"/>
    <col min="16" max="16" width="20.81640625" style="55" customWidth="1"/>
    <col min="17" max="17" width="15.6328125" style="55" customWidth="1"/>
    <col min="18" max="18" width="16.90625" style="55" customWidth="1"/>
    <col min="19" max="19" width="18.7265625" style="55" customWidth="1"/>
    <col min="20" max="20" width="18.90625" style="55" customWidth="1"/>
    <col min="21" max="21" width="16.453125" style="55" customWidth="1"/>
    <col min="22" max="22" width="5.90625" style="55" customWidth="1"/>
    <col min="23" max="23" width="8.08984375" style="55" customWidth="1"/>
    <col min="24" max="24" width="8.7265625" style="55"/>
    <col min="25" max="25" width="9.90625" style="55" customWidth="1"/>
    <col min="26" max="26" width="16" style="55" customWidth="1"/>
    <col min="27" max="27" width="14.7265625" style="55" customWidth="1"/>
    <col min="28" max="28" width="21.26953125" style="55" customWidth="1"/>
    <col min="29" max="29" width="22.36328125" style="55" customWidth="1"/>
    <col min="30" max="30" width="22.6328125" style="55" customWidth="1"/>
    <col min="31" max="32" width="19.453125" style="55" customWidth="1"/>
    <col min="33" max="33" width="16.54296875" style="55" customWidth="1"/>
    <col min="34" max="34" width="16.54296875" style="9" customWidth="1"/>
    <col min="35" max="35" width="8.7265625" style="55"/>
    <col min="36" max="37" width="9.90625" style="55" customWidth="1"/>
    <col min="38" max="38" width="11" style="55" customWidth="1"/>
    <col min="39" max="39" width="8.7265625" style="55"/>
    <col min="40" max="40" width="11.1796875" style="55" customWidth="1"/>
    <col min="41" max="41" width="11.90625" style="55" customWidth="1"/>
    <col min="42" max="42" width="11.7265625" style="55" customWidth="1"/>
    <col min="43" max="43" width="10.453125" style="55" customWidth="1"/>
    <col min="44" max="44" width="10.08984375" style="55" customWidth="1"/>
    <col min="45" max="46" width="8.7265625" style="55"/>
    <col min="47" max="47" width="9.453125" style="55" customWidth="1"/>
    <col min="48" max="48" width="8.7265625" style="55"/>
    <col min="49" max="49" width="11.1796875" style="55" customWidth="1"/>
    <col min="50" max="50" width="8.90625" style="55" customWidth="1"/>
    <col min="51" max="52" width="11.36328125" style="55" customWidth="1"/>
    <col min="53" max="53" width="11.54296875" style="55" customWidth="1"/>
    <col min="54" max="54" width="11.36328125" style="55" customWidth="1"/>
    <col min="55" max="55" width="11" style="55" customWidth="1"/>
    <col min="56" max="57" width="8.7265625" style="55"/>
    <col min="58" max="58" width="8.81640625" style="55" bestFit="1" customWidth="1"/>
    <col min="59" max="59" width="9.1796875" style="55" bestFit="1" customWidth="1"/>
    <col min="60" max="60" width="12.90625" style="55" customWidth="1"/>
    <col min="61" max="61" width="11.36328125" style="55" customWidth="1"/>
    <col min="62" max="62" width="8.81640625" style="55" bestFit="1" customWidth="1"/>
    <col min="63" max="63" width="11.1796875" style="55" customWidth="1"/>
    <col min="64" max="64" width="11" style="55" customWidth="1"/>
    <col min="65" max="65" width="11.36328125" style="55" customWidth="1"/>
    <col min="66" max="66" width="10.6328125" style="55" customWidth="1"/>
    <col min="67" max="67" width="10.453125" style="55" customWidth="1"/>
    <col min="68" max="68" width="8.7265625" style="9"/>
    <col min="69" max="69" width="8.81640625" style="55" bestFit="1" customWidth="1"/>
    <col min="70" max="70" width="9.1796875" style="55" bestFit="1" customWidth="1"/>
    <col min="71" max="71" width="11" style="55" bestFit="1" customWidth="1"/>
    <col min="72" max="72" width="11" style="55" customWidth="1"/>
    <col min="73" max="73" width="8.81640625" style="55" bestFit="1" customWidth="1"/>
    <col min="74" max="74" width="10.26953125" style="55" customWidth="1"/>
    <col min="75" max="75" width="10.81640625" style="55" customWidth="1"/>
    <col min="76" max="76" width="11.36328125" style="55" customWidth="1"/>
    <col min="77" max="77" width="10.6328125" style="55" customWidth="1"/>
    <col min="78" max="78" width="10.81640625" style="55" customWidth="1"/>
    <col min="79" max="80" width="8.7265625" style="55"/>
    <col min="81" max="81" width="10.08984375" style="55" customWidth="1"/>
    <col min="82" max="82" width="8.7265625" style="55"/>
    <col min="83" max="83" width="10.08984375" style="55" customWidth="1"/>
    <col min="84" max="84" width="8.7265625" style="55"/>
    <col min="85" max="85" width="10.6328125" style="55" customWidth="1"/>
    <col min="86" max="87" width="11" style="55" customWidth="1"/>
    <col min="88" max="88" width="11.36328125" style="55" customWidth="1"/>
    <col min="89" max="89" width="11.453125" style="55" bestFit="1" customWidth="1"/>
    <col min="90" max="91" width="8.7265625" style="55"/>
    <col min="92" max="92" width="8.81640625" style="55" bestFit="1" customWidth="1"/>
    <col min="93" max="93" width="9.6328125" style="55" customWidth="1"/>
    <col min="94" max="94" width="13.90625" style="55" bestFit="1" customWidth="1"/>
    <col min="95" max="95" width="15" style="55" bestFit="1" customWidth="1"/>
    <col min="96" max="96" width="10" style="55" bestFit="1" customWidth="1"/>
    <col min="97" max="97" width="11" style="55" customWidth="1"/>
    <col min="98" max="98" width="10.81640625" style="55" customWidth="1"/>
    <col min="99" max="100" width="10.453125" style="55" bestFit="1" customWidth="1"/>
    <col min="101" max="101" width="10" style="55" customWidth="1"/>
    <col min="102" max="16384" width="8.7265625" style="55"/>
  </cols>
  <sheetData>
    <row r="1" spans="1:101" ht="26" x14ac:dyDescent="0.6">
      <c r="A1" s="102" t="s">
        <v>33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I1" s="102" t="s">
        <v>35</v>
      </c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L1" s="25"/>
      <c r="BM1" s="25"/>
      <c r="BN1" s="25"/>
      <c r="BO1" s="25"/>
      <c r="BP1" s="30"/>
      <c r="BQ1" s="25"/>
      <c r="BR1" s="25"/>
      <c r="BS1" s="25"/>
      <c r="BT1" s="25"/>
      <c r="BU1" s="25"/>
      <c r="BV1" s="25" t="s">
        <v>34</v>
      </c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</row>
    <row r="2" spans="1:101" ht="18.5" x14ac:dyDescent="0.45">
      <c r="A2" s="103" t="s">
        <v>14</v>
      </c>
      <c r="B2" s="103"/>
      <c r="C2" s="103"/>
      <c r="D2" s="103"/>
      <c r="E2" s="103"/>
      <c r="F2" s="103"/>
      <c r="G2" s="103"/>
      <c r="H2" s="103"/>
      <c r="I2" s="103"/>
      <c r="J2" s="103"/>
      <c r="K2" s="11"/>
      <c r="L2" s="103" t="s">
        <v>15</v>
      </c>
      <c r="M2" s="103"/>
      <c r="N2" s="103"/>
      <c r="O2" s="103"/>
      <c r="P2" s="103"/>
      <c r="Q2" s="103"/>
      <c r="R2" s="103"/>
      <c r="S2" s="103"/>
      <c r="T2" s="103"/>
      <c r="U2" s="103"/>
      <c r="V2" s="20"/>
      <c r="W2" s="20"/>
      <c r="X2" s="103" t="s">
        <v>1</v>
      </c>
      <c r="Y2" s="103"/>
      <c r="Z2" s="103"/>
      <c r="AA2" s="103"/>
      <c r="AB2" s="103"/>
      <c r="AC2" s="103"/>
      <c r="AD2" s="103"/>
      <c r="AE2" s="103"/>
      <c r="AF2" s="103"/>
      <c r="AG2" s="103"/>
      <c r="AH2" s="26"/>
      <c r="AI2" s="103" t="s">
        <v>14</v>
      </c>
      <c r="AJ2" s="103"/>
      <c r="AK2" s="103"/>
      <c r="AL2" s="103"/>
      <c r="AM2" s="103"/>
      <c r="AN2" s="103"/>
      <c r="AO2" s="103"/>
      <c r="AP2" s="103"/>
      <c r="AQ2" s="103"/>
      <c r="AR2" s="103"/>
      <c r="AS2" s="11"/>
      <c r="AT2" s="103" t="s">
        <v>15</v>
      </c>
      <c r="AU2" s="103"/>
      <c r="AV2" s="103"/>
      <c r="AW2" s="103"/>
      <c r="AX2" s="103"/>
      <c r="AY2" s="103"/>
      <c r="AZ2" s="103"/>
      <c r="BA2" s="103"/>
      <c r="BB2" s="103"/>
      <c r="BC2" s="103"/>
      <c r="BD2" s="20"/>
      <c r="BE2" s="20"/>
      <c r="BF2" s="103" t="s">
        <v>1</v>
      </c>
      <c r="BG2" s="103"/>
      <c r="BH2" s="103"/>
      <c r="BI2" s="103"/>
      <c r="BJ2" s="103"/>
      <c r="BK2" s="103"/>
      <c r="BL2" s="103"/>
      <c r="BM2" s="103"/>
      <c r="BN2" s="103"/>
      <c r="BO2" s="103"/>
      <c r="BP2" s="26"/>
      <c r="BQ2" s="103" t="s">
        <v>14</v>
      </c>
      <c r="BR2" s="103"/>
      <c r="BS2" s="103"/>
      <c r="BT2" s="103"/>
      <c r="BU2" s="103"/>
      <c r="BV2" s="103"/>
      <c r="BW2" s="103"/>
      <c r="BX2" s="103"/>
      <c r="BY2" s="103"/>
      <c r="BZ2" s="103"/>
      <c r="CA2" s="11"/>
      <c r="CB2" s="103" t="s">
        <v>15</v>
      </c>
      <c r="CC2" s="103"/>
      <c r="CD2" s="103"/>
      <c r="CE2" s="103"/>
      <c r="CF2" s="103"/>
      <c r="CG2" s="103"/>
      <c r="CH2" s="103"/>
      <c r="CI2" s="103"/>
      <c r="CJ2" s="103"/>
      <c r="CK2" s="103"/>
      <c r="CL2" s="20"/>
      <c r="CM2" s="20"/>
      <c r="CN2" s="103" t="s">
        <v>1</v>
      </c>
      <c r="CO2" s="103"/>
      <c r="CP2" s="103"/>
      <c r="CQ2" s="103"/>
      <c r="CR2" s="103"/>
      <c r="CS2" s="103"/>
      <c r="CT2" s="103"/>
      <c r="CU2" s="103"/>
      <c r="CV2" s="103"/>
      <c r="CW2" s="103"/>
    </row>
    <row r="3" spans="1:101" x14ac:dyDescent="0.35">
      <c r="A3" s="18"/>
      <c r="B3" s="18"/>
      <c r="C3" s="18"/>
      <c r="D3" s="18"/>
      <c r="E3" s="18"/>
      <c r="F3" s="55" t="s">
        <v>32</v>
      </c>
      <c r="G3" s="55" t="s">
        <v>32</v>
      </c>
      <c r="H3" s="55" t="s">
        <v>32</v>
      </c>
      <c r="I3" s="55" t="s">
        <v>31</v>
      </c>
      <c r="L3" s="18"/>
      <c r="M3" s="18"/>
      <c r="N3" s="18"/>
      <c r="O3" s="18"/>
      <c r="P3" s="18"/>
      <c r="Q3" s="55" t="s">
        <v>32</v>
      </c>
      <c r="R3" s="55" t="s">
        <v>32</v>
      </c>
      <c r="S3" s="55" t="s">
        <v>32</v>
      </c>
      <c r="T3" s="55" t="s">
        <v>31</v>
      </c>
      <c r="AC3" s="55" t="s">
        <v>32</v>
      </c>
      <c r="AD3" s="55" t="s">
        <v>32</v>
      </c>
      <c r="AE3" s="55" t="s">
        <v>32</v>
      </c>
      <c r="AF3" s="55" t="s">
        <v>31</v>
      </c>
      <c r="AI3" s="18"/>
      <c r="AJ3" s="18"/>
      <c r="AK3" s="18"/>
      <c r="AL3" s="18"/>
      <c r="AM3" s="18"/>
      <c r="AN3" s="55" t="s">
        <v>32</v>
      </c>
      <c r="AO3" s="55" t="s">
        <v>32</v>
      </c>
      <c r="AP3" s="55" t="s">
        <v>32</v>
      </c>
      <c r="AQ3" s="55" t="s">
        <v>31</v>
      </c>
      <c r="AT3" s="18"/>
      <c r="AU3" s="18"/>
      <c r="AV3" s="18"/>
      <c r="AW3" s="18"/>
      <c r="AX3" s="18"/>
      <c r="AY3" s="55" t="s">
        <v>32</v>
      </c>
      <c r="AZ3" s="55" t="s">
        <v>32</v>
      </c>
      <c r="BA3" s="55" t="s">
        <v>32</v>
      </c>
      <c r="BB3" s="55" t="s">
        <v>31</v>
      </c>
      <c r="BK3" s="55" t="s">
        <v>32</v>
      </c>
      <c r="BL3" s="55" t="s">
        <v>32</v>
      </c>
      <c r="BM3" s="55" t="s">
        <v>32</v>
      </c>
      <c r="BN3" s="55" t="s">
        <v>31</v>
      </c>
      <c r="BQ3" s="18"/>
      <c r="BR3" s="18"/>
      <c r="BS3" s="18"/>
      <c r="BT3" s="18"/>
      <c r="BU3" s="18"/>
      <c r="BV3" s="55" t="s">
        <v>32</v>
      </c>
      <c r="BW3" s="55" t="s">
        <v>32</v>
      </c>
      <c r="BX3" s="55" t="s">
        <v>32</v>
      </c>
      <c r="BY3" s="55" t="s">
        <v>31</v>
      </c>
      <c r="CB3" s="18"/>
      <c r="CC3" s="18"/>
      <c r="CD3" s="18"/>
      <c r="CE3" s="18"/>
      <c r="CF3" s="18"/>
      <c r="CG3" s="55" t="s">
        <v>32</v>
      </c>
      <c r="CH3" s="55" t="s">
        <v>32</v>
      </c>
      <c r="CI3" s="55" t="s">
        <v>32</v>
      </c>
      <c r="CJ3" s="55" t="s">
        <v>31</v>
      </c>
      <c r="CS3" s="55" t="s">
        <v>32</v>
      </c>
      <c r="CT3" s="55" t="s">
        <v>32</v>
      </c>
      <c r="CU3" s="55" t="s">
        <v>32</v>
      </c>
      <c r="CV3" s="55" t="s">
        <v>31</v>
      </c>
    </row>
    <row r="4" spans="1:101" x14ac:dyDescent="0.35">
      <c r="A4" s="1" t="s">
        <v>2</v>
      </c>
      <c r="B4" s="1" t="s">
        <v>0</v>
      </c>
      <c r="C4" s="1" t="s">
        <v>28</v>
      </c>
      <c r="D4" s="1" t="s">
        <v>29</v>
      </c>
      <c r="E4" s="1" t="s">
        <v>8</v>
      </c>
      <c r="F4" s="1" t="s">
        <v>55</v>
      </c>
      <c r="G4" s="1" t="s">
        <v>56</v>
      </c>
      <c r="H4" s="1" t="s">
        <v>57</v>
      </c>
      <c r="I4" s="1" t="s">
        <v>57</v>
      </c>
      <c r="J4" s="19" t="s">
        <v>58</v>
      </c>
      <c r="K4" s="19"/>
      <c r="L4" s="1" t="s">
        <v>2</v>
      </c>
      <c r="M4" s="1" t="s">
        <v>0</v>
      </c>
      <c r="N4" s="1" t="s">
        <v>28</v>
      </c>
      <c r="O4" s="1" t="s">
        <v>29</v>
      </c>
      <c r="P4" s="1" t="s">
        <v>8</v>
      </c>
      <c r="Q4" s="1" t="s">
        <v>55</v>
      </c>
      <c r="R4" s="1" t="s">
        <v>56</v>
      </c>
      <c r="S4" s="1" t="s">
        <v>57</v>
      </c>
      <c r="T4" s="1" t="s">
        <v>57</v>
      </c>
      <c r="U4" s="19" t="s">
        <v>58</v>
      </c>
      <c r="V4" s="19"/>
      <c r="W4" s="19"/>
      <c r="X4" s="1" t="s">
        <v>2</v>
      </c>
      <c r="Y4" s="1" t="s">
        <v>0</v>
      </c>
      <c r="Z4" s="1" t="s">
        <v>6</v>
      </c>
      <c r="AA4" s="1" t="s">
        <v>29</v>
      </c>
      <c r="AB4" s="1" t="s">
        <v>8</v>
      </c>
      <c r="AC4" s="1" t="s">
        <v>55</v>
      </c>
      <c r="AD4" s="1" t="s">
        <v>56</v>
      </c>
      <c r="AE4" s="1" t="s">
        <v>57</v>
      </c>
      <c r="AF4" s="1" t="s">
        <v>57</v>
      </c>
      <c r="AG4" s="19" t="s">
        <v>58</v>
      </c>
      <c r="AH4" s="27"/>
      <c r="AI4" s="1" t="s">
        <v>2</v>
      </c>
      <c r="AJ4" s="1" t="s">
        <v>0</v>
      </c>
      <c r="AK4" s="1" t="s">
        <v>28</v>
      </c>
      <c r="AL4" s="1" t="s">
        <v>29</v>
      </c>
      <c r="AM4" s="1" t="s">
        <v>8</v>
      </c>
      <c r="AN4" s="1" t="s">
        <v>55</v>
      </c>
      <c r="AO4" s="1" t="s">
        <v>56</v>
      </c>
      <c r="AP4" s="1" t="s">
        <v>57</v>
      </c>
      <c r="AQ4" s="1" t="s">
        <v>57</v>
      </c>
      <c r="AR4" s="19" t="s">
        <v>58</v>
      </c>
      <c r="AS4" s="19"/>
      <c r="AT4" s="1" t="s">
        <v>2</v>
      </c>
      <c r="AU4" s="1" t="s">
        <v>0</v>
      </c>
      <c r="AV4" s="1" t="s">
        <v>28</v>
      </c>
      <c r="AW4" s="1" t="s">
        <v>29</v>
      </c>
      <c r="AX4" s="1" t="s">
        <v>8</v>
      </c>
      <c r="AY4" s="1" t="s">
        <v>55</v>
      </c>
      <c r="AZ4" s="1" t="s">
        <v>56</v>
      </c>
      <c r="BA4" s="1" t="s">
        <v>57</v>
      </c>
      <c r="BB4" s="1" t="s">
        <v>57</v>
      </c>
      <c r="BC4" s="19" t="s">
        <v>58</v>
      </c>
      <c r="BD4" s="19"/>
      <c r="BE4" s="19"/>
      <c r="BF4" s="1" t="s">
        <v>2</v>
      </c>
      <c r="BG4" s="1" t="s">
        <v>0</v>
      </c>
      <c r="BH4" s="1" t="s">
        <v>6</v>
      </c>
      <c r="BI4" s="1" t="s">
        <v>29</v>
      </c>
      <c r="BJ4" s="1" t="s">
        <v>8</v>
      </c>
      <c r="BK4" s="1" t="s">
        <v>55</v>
      </c>
      <c r="BL4" s="1" t="s">
        <v>56</v>
      </c>
      <c r="BM4" s="1" t="s">
        <v>57</v>
      </c>
      <c r="BN4" s="1" t="s">
        <v>57</v>
      </c>
      <c r="BO4" s="19" t="s">
        <v>58</v>
      </c>
      <c r="BP4" s="27"/>
      <c r="BQ4" s="1" t="s">
        <v>2</v>
      </c>
      <c r="BR4" s="1" t="s">
        <v>0</v>
      </c>
      <c r="BS4" s="1" t="s">
        <v>28</v>
      </c>
      <c r="BT4" s="1" t="s">
        <v>29</v>
      </c>
      <c r="BU4" s="1" t="s">
        <v>8</v>
      </c>
      <c r="BV4" s="1" t="s">
        <v>55</v>
      </c>
      <c r="BW4" s="1" t="s">
        <v>56</v>
      </c>
      <c r="BX4" s="1" t="s">
        <v>57</v>
      </c>
      <c r="BY4" s="1" t="s">
        <v>57</v>
      </c>
      <c r="BZ4" s="19" t="s">
        <v>58</v>
      </c>
      <c r="CA4" s="19"/>
      <c r="CB4" s="1" t="s">
        <v>2</v>
      </c>
      <c r="CC4" s="1" t="s">
        <v>0</v>
      </c>
      <c r="CD4" s="1" t="s">
        <v>28</v>
      </c>
      <c r="CE4" s="1" t="s">
        <v>29</v>
      </c>
      <c r="CF4" s="1" t="s">
        <v>8</v>
      </c>
      <c r="CG4" s="1" t="s">
        <v>55</v>
      </c>
      <c r="CH4" s="1" t="s">
        <v>56</v>
      </c>
      <c r="CI4" s="1" t="s">
        <v>57</v>
      </c>
      <c r="CJ4" s="1" t="s">
        <v>57</v>
      </c>
      <c r="CK4" s="19" t="s">
        <v>58</v>
      </c>
      <c r="CL4" s="19"/>
      <c r="CM4" s="19"/>
      <c r="CN4" s="1" t="s">
        <v>2</v>
      </c>
      <c r="CO4" s="1" t="s">
        <v>0</v>
      </c>
      <c r="CP4" s="1" t="s">
        <v>6</v>
      </c>
      <c r="CQ4" s="1" t="s">
        <v>29</v>
      </c>
      <c r="CR4" s="1" t="s">
        <v>8</v>
      </c>
      <c r="CS4" s="1" t="s">
        <v>55</v>
      </c>
      <c r="CT4" s="1" t="s">
        <v>56</v>
      </c>
      <c r="CU4" s="1" t="s">
        <v>57</v>
      </c>
      <c r="CV4" s="1" t="s">
        <v>57</v>
      </c>
      <c r="CW4" s="19" t="s">
        <v>58</v>
      </c>
    </row>
    <row r="5" spans="1:101" x14ac:dyDescent="0.35">
      <c r="A5" s="55">
        <v>2024</v>
      </c>
      <c r="B5" s="55" t="s">
        <v>3</v>
      </c>
      <c r="C5" s="55">
        <f>280252.16</f>
        <v>280252.15999999997</v>
      </c>
      <c r="D5" s="56">
        <v>6435150000</v>
      </c>
      <c r="L5" s="55">
        <v>2024</v>
      </c>
      <c r="M5" s="55" t="s">
        <v>3</v>
      </c>
      <c r="N5" s="55">
        <v>269291.34999999998</v>
      </c>
      <c r="O5" s="55">
        <v>5700361652.1890001</v>
      </c>
      <c r="X5" s="55">
        <v>2024</v>
      </c>
      <c r="Y5" s="55" t="s">
        <v>24</v>
      </c>
      <c r="Z5" s="55">
        <v>1693315.6099999994</v>
      </c>
      <c r="AA5" s="56">
        <v>27701673233.189003</v>
      </c>
      <c r="AI5" s="55">
        <v>2024</v>
      </c>
      <c r="AJ5" s="55" t="s">
        <v>3</v>
      </c>
      <c r="AK5" s="55">
        <f>280252.16</f>
        <v>280252.15999999997</v>
      </c>
      <c r="AL5" s="56">
        <v>6435150000</v>
      </c>
      <c r="AT5" s="55">
        <v>2024</v>
      </c>
      <c r="AU5" s="55" t="s">
        <v>3</v>
      </c>
      <c r="AV5" s="55">
        <v>269291.34999999998</v>
      </c>
      <c r="AW5" s="55">
        <v>5700361652.1890001</v>
      </c>
      <c r="BF5" s="55">
        <v>2024</v>
      </c>
      <c r="BG5" s="55" t="s">
        <v>24</v>
      </c>
      <c r="BH5" s="55">
        <v>1693315.6099999994</v>
      </c>
      <c r="BI5" s="56">
        <v>27701673233.189003</v>
      </c>
      <c r="BQ5" s="55">
        <v>2024</v>
      </c>
      <c r="BR5" s="55" t="s">
        <v>3</v>
      </c>
      <c r="BS5" s="55">
        <f>280252.16</f>
        <v>280252.15999999997</v>
      </c>
      <c r="BT5" s="56">
        <v>6435150000</v>
      </c>
      <c r="CB5" s="55">
        <v>2024</v>
      </c>
      <c r="CC5" s="55" t="s">
        <v>3</v>
      </c>
      <c r="CD5" s="55">
        <v>269291.34999999998</v>
      </c>
      <c r="CE5" s="55">
        <v>5700361652.1890001</v>
      </c>
      <c r="CN5" s="55">
        <v>2024</v>
      </c>
      <c r="CO5" s="55" t="s">
        <v>24</v>
      </c>
      <c r="CP5" s="55">
        <v>1693315.6099999994</v>
      </c>
      <c r="CQ5" s="56">
        <v>27701673233.189003</v>
      </c>
    </row>
    <row r="6" spans="1:101" x14ac:dyDescent="0.35">
      <c r="B6" s="55" t="s">
        <v>4</v>
      </c>
      <c r="C6" s="55">
        <f>276267.53</f>
        <v>276267.53000000003</v>
      </c>
      <c r="D6" s="56">
        <v>6422130000</v>
      </c>
      <c r="E6" s="55">
        <v>1519.17</v>
      </c>
      <c r="F6" s="56">
        <f>D6*$B$36</f>
        <v>6486.3513000000003</v>
      </c>
      <c r="G6" s="56">
        <f>D6*E6*$B$35</f>
        <v>386.90307754840586</v>
      </c>
      <c r="H6" s="56">
        <f>SUM(F6:G6)*0.000000000001</f>
        <v>6.8732543775484063E-9</v>
      </c>
      <c r="I6" s="56">
        <f>D6*$B$37*0.000000000001</f>
        <v>6.2088719286498009E-9</v>
      </c>
      <c r="J6" s="56"/>
      <c r="K6" s="56"/>
      <c r="M6" s="55" t="s">
        <v>16</v>
      </c>
      <c r="N6" s="12">
        <v>96758.74</v>
      </c>
      <c r="O6" s="56">
        <v>2659900000</v>
      </c>
      <c r="P6" s="55">
        <v>4900.57</v>
      </c>
      <c r="Q6" s="56">
        <f>O6*$M$49</f>
        <v>2686.4990000000003</v>
      </c>
      <c r="R6" s="56">
        <f>O6*P6*$M$48</f>
        <v>516.92629297868905</v>
      </c>
      <c r="S6" s="56">
        <f>SUM(Q6:R6)*0.000000000001</f>
        <v>3.2034252929786893E-9</v>
      </c>
      <c r="T6" s="56">
        <f>O6*$M$50*0.000000000001</f>
        <v>4.1974737250588708E-9</v>
      </c>
      <c r="W6" s="55" t="s">
        <v>42</v>
      </c>
      <c r="Y6" s="55" t="s">
        <v>1</v>
      </c>
      <c r="Z6" s="55">
        <f>Z5-(N5+C5)</f>
        <v>1143772.0999999994</v>
      </c>
      <c r="AA6" s="56">
        <f>AA5-(O5+D5)</f>
        <v>15566161581.000004</v>
      </c>
      <c r="AB6" s="2">
        <v>38.352499999999999</v>
      </c>
      <c r="AC6" s="56">
        <f>AA6*$Y$38</f>
        <v>15721.823196810004</v>
      </c>
      <c r="AD6" s="56">
        <f>AA6*AB6*$Y$37</f>
        <v>23.675105830679058</v>
      </c>
      <c r="AE6" s="56">
        <f>SUM(AC6:AD6)*0.000000000001</f>
        <v>1.5745498302640683E-8</v>
      </c>
      <c r="AF6" s="56">
        <f>AA6*$Y$39*0.000000000001</f>
        <v>4.8518497793960484E-8</v>
      </c>
      <c r="AG6" s="56">
        <f>AF6-AE6</f>
        <v>3.2772999491319801E-8</v>
      </c>
      <c r="AH6" s="10"/>
      <c r="AJ6" s="55" t="s">
        <v>4</v>
      </c>
      <c r="AK6" s="55">
        <f>276267.53</f>
        <v>276267.53000000003</v>
      </c>
      <c r="AL6" s="56">
        <v>6422130000</v>
      </c>
      <c r="AM6" s="55">
        <v>1519.17</v>
      </c>
      <c r="AN6" s="56">
        <f>AL6*AJ$36</f>
        <v>6486.3513000000003</v>
      </c>
      <c r="AO6" s="56">
        <f>AL6*AM6*AJ$35</f>
        <v>386.90307754840586</v>
      </c>
      <c r="AP6" s="56">
        <f>SUM(AN6:AO6)*0.000000000001</f>
        <v>6.8732543775484063E-9</v>
      </c>
      <c r="AQ6" s="56">
        <f>AL6*AJ$37*0.000000000001</f>
        <v>2.650480168952766E-9</v>
      </c>
      <c r="AR6" s="56"/>
      <c r="AS6" s="56"/>
      <c r="AU6" s="55" t="s">
        <v>16</v>
      </c>
      <c r="AV6" s="12">
        <v>96758.74</v>
      </c>
      <c r="AW6" s="56">
        <v>2659900000</v>
      </c>
      <c r="AX6" s="55">
        <v>4900.57</v>
      </c>
      <c r="AY6" s="56">
        <f>AW6*AU$49</f>
        <v>2686.4990000000003</v>
      </c>
      <c r="AZ6" s="56">
        <f>AW6*AX6*AU$48</f>
        <v>516.92629297868905</v>
      </c>
      <c r="BA6" s="56">
        <f>SUM(AY6:AZ6)*0.000000000001</f>
        <v>3.2034252929786893E-9</v>
      </c>
      <c r="BB6" s="56">
        <f>AW6*AU$50*0.000000000001</f>
        <v>1.5053944262017359E-9</v>
      </c>
      <c r="BE6" s="55" t="s">
        <v>42</v>
      </c>
      <c r="BG6" s="55" t="s">
        <v>1</v>
      </c>
      <c r="BH6" s="55">
        <f>BH5-(AV5+AK5)</f>
        <v>1143772.0999999994</v>
      </c>
      <c r="BI6" s="56">
        <f>BI5-(AW5+AL5)</f>
        <v>15566161581.000004</v>
      </c>
      <c r="BJ6" s="2">
        <v>38.352499999999999</v>
      </c>
      <c r="BK6" s="56">
        <f>BI6*BG$38</f>
        <v>15721.823196810004</v>
      </c>
      <c r="BL6" s="56">
        <f>BI6*BJ6*BG$37</f>
        <v>23.675105830679058</v>
      </c>
      <c r="BM6" s="56">
        <f>SUM(BK6:BL6)*0.000000000001</f>
        <v>1.5745498302640683E-8</v>
      </c>
      <c r="BN6" s="56">
        <f>BI6*BG$39*0.000000000001</f>
        <v>1.9701803706124705E-8</v>
      </c>
      <c r="BO6" s="56">
        <f>BN6-BM6</f>
        <v>3.9563054034840224E-9</v>
      </c>
      <c r="BP6" s="10"/>
      <c r="BR6" s="55" t="s">
        <v>4</v>
      </c>
      <c r="BS6" s="55">
        <f>276267.53</f>
        <v>276267.53000000003</v>
      </c>
      <c r="BT6" s="56">
        <v>6422130000</v>
      </c>
      <c r="BU6" s="55">
        <v>1519.17</v>
      </c>
      <c r="BV6" s="91">
        <f>BT6*BR$36</f>
        <v>6486.3513000000003</v>
      </c>
      <c r="BW6" s="91">
        <f>BT6*BU6*BR$35</f>
        <v>386.90307754840586</v>
      </c>
      <c r="BX6" s="91">
        <f>SUM(BV6:BW6)*0.000000000001</f>
        <v>6.8732543775484063E-9</v>
      </c>
      <c r="BY6" s="91">
        <f>BT6*BR$37*0.000000000001</f>
        <v>1.74141465019591E-8</v>
      </c>
      <c r="BZ6" s="56"/>
      <c r="CA6" s="56"/>
      <c r="CC6" s="55" t="s">
        <v>16</v>
      </c>
      <c r="CD6" s="12">
        <v>96758.74</v>
      </c>
      <c r="CE6" s="56">
        <v>2659900000</v>
      </c>
      <c r="CF6" s="55">
        <v>4900.57</v>
      </c>
      <c r="CG6" s="91">
        <f t="shared" ref="CG6:CG10" si="0">CE6*CC$49</f>
        <v>2686.4990000000003</v>
      </c>
      <c r="CH6" s="91">
        <f t="shared" ref="CH6:CH10" si="1">CE6*CF6*CC$48</f>
        <v>516.92629297868905</v>
      </c>
      <c r="CI6" s="91">
        <f t="shared" ref="CI6:CI10" si="2">SUM(CG6:CH6)*0.000000000001</f>
        <v>3.2034252929786893E-9</v>
      </c>
      <c r="CJ6" s="91">
        <f t="shared" ref="CJ6:CJ10" si="3">CE6*CC$50*0.000000000001</f>
        <v>1.3931680161109309E-8</v>
      </c>
      <c r="CM6" s="55" t="s">
        <v>42</v>
      </c>
      <c r="CO6" s="55" t="s">
        <v>1</v>
      </c>
      <c r="CP6" s="55">
        <f>CP5-(CD5+BS5)</f>
        <v>1143772.0999999994</v>
      </c>
      <c r="CQ6" s="56">
        <f>CQ5-(CE5+BT5)</f>
        <v>15566161581.000004</v>
      </c>
      <c r="CR6" s="2">
        <v>38.352499999999999</v>
      </c>
      <c r="CS6" s="91">
        <f t="shared" ref="CS6:CS8" si="4">CQ6*CO$38</f>
        <v>15721.823196810004</v>
      </c>
      <c r="CT6" s="91">
        <f t="shared" ref="CT6:CT8" si="5">CQ6*CR6*CO$37</f>
        <v>23.675105830679058</v>
      </c>
      <c r="CU6" s="91">
        <f t="shared" ref="CU6:CU8" si="6">SUM(CS6:CT6)*0.000000000001</f>
        <v>1.5745498302640683E-8</v>
      </c>
      <c r="CV6" s="91">
        <f t="shared" ref="CV6:CV8" si="7">CQ6*CO$39*0.000000000001</f>
        <v>1.3328315723144768E-7</v>
      </c>
      <c r="CW6" s="56">
        <f>CV6-CU6</f>
        <v>1.17537658928807E-7</v>
      </c>
    </row>
    <row r="7" spans="1:101" x14ac:dyDescent="0.35">
      <c r="B7" s="55" t="s">
        <v>5</v>
      </c>
      <c r="C7" s="55">
        <f>2060.63</f>
        <v>2060.63</v>
      </c>
      <c r="D7" s="56">
        <v>6626980</v>
      </c>
      <c r="E7" s="2">
        <v>5203.3100000000004</v>
      </c>
      <c r="F7" s="56">
        <f>D7*$B$36</f>
        <v>6.6932498000000002</v>
      </c>
      <c r="G7" s="56">
        <f>D7*E7*$B$35</f>
        <v>1.3674519564411618</v>
      </c>
      <c r="H7" s="56">
        <f>SUM(F7:G7)*0.000000000001</f>
        <v>8.0607017564411621E-12</v>
      </c>
      <c r="I7" s="56">
        <f>D7*$B$37*0.000000000001</f>
        <v>6.4069195257217862E-12</v>
      </c>
      <c r="J7" s="56"/>
      <c r="K7" s="56"/>
      <c r="M7" s="55" t="s">
        <v>17</v>
      </c>
      <c r="N7" s="12">
        <v>69050.75</v>
      </c>
      <c r="O7" s="56">
        <v>1289010000</v>
      </c>
      <c r="P7" s="55">
        <v>10024.9</v>
      </c>
      <c r="Q7" s="56">
        <f t="shared" ref="Q7:Q10" si="8">O7*$M$49</f>
        <v>1301.9001000000001</v>
      </c>
      <c r="R7" s="56">
        <f t="shared" ref="R7:R10" si="9">O7*P7*$M$48</f>
        <v>512.45183420046169</v>
      </c>
      <c r="S7" s="56">
        <f t="shared" ref="S7:S10" si="10">SUM(Q7:R7)*0.000000000001</f>
        <v>1.8143519342004618E-9</v>
      </c>
      <c r="T7" s="56">
        <f t="shared" ref="T7:T10" si="11">O7*$M$50*0.000000000001</f>
        <v>2.0341312103229951E-9</v>
      </c>
      <c r="W7" s="55" t="s">
        <v>47</v>
      </c>
      <c r="Y7" s="55" t="s">
        <v>1</v>
      </c>
      <c r="Z7" s="55">
        <v>1143772.0999999994</v>
      </c>
      <c r="AA7" s="56">
        <v>15566161581.000004</v>
      </c>
      <c r="AB7" s="2">
        <v>3240</v>
      </c>
      <c r="AC7" s="56">
        <f t="shared" ref="AC7:AC8" si="12">AA7*$Y$38</f>
        <v>15721.823196810004</v>
      </c>
      <c r="AD7" s="56">
        <f t="shared" ref="AD7:AD8" si="13">AA7*AB7*$Y$37</f>
        <v>2000.0610883619102</v>
      </c>
      <c r="AE7" s="56">
        <f t="shared" ref="AE7:AE8" si="14">SUM(AC7:AD7)*0.000000000001</f>
        <v>1.7721884285171917E-8</v>
      </c>
      <c r="AF7" s="56">
        <f t="shared" ref="AF7:AF8" si="15">AA7*$Y$39*0.000000000001</f>
        <v>4.8518497793960484E-8</v>
      </c>
      <c r="AG7" s="56">
        <f t="shared" ref="AG7:AG8" si="16">AF7-AE7</f>
        <v>3.0796613508788571E-8</v>
      </c>
      <c r="AH7" s="10"/>
      <c r="AJ7" s="55" t="s">
        <v>5</v>
      </c>
      <c r="AK7" s="55">
        <f>2060.63</f>
        <v>2060.63</v>
      </c>
      <c r="AL7" s="56">
        <v>6626980</v>
      </c>
      <c r="AM7" s="2">
        <v>5203.3100000000004</v>
      </c>
      <c r="AN7" s="91">
        <f>AL7*AJ$36</f>
        <v>6.6932498000000002</v>
      </c>
      <c r="AO7" s="91">
        <f>AL7*AM7*AJ$35</f>
        <v>1.3674519564411618</v>
      </c>
      <c r="AP7" s="91">
        <f>SUM(AN7:AO7)*0.000000000001</f>
        <v>8.0607017564411621E-12</v>
      </c>
      <c r="AQ7" s="91">
        <f>AL7*AJ$37*0.000000000001</f>
        <v>2.7350239048487967E-12</v>
      </c>
      <c r="AR7" s="56"/>
      <c r="AS7" s="56"/>
      <c r="AU7" s="55" t="s">
        <v>17</v>
      </c>
      <c r="AV7" s="12">
        <v>69050.75</v>
      </c>
      <c r="AW7" s="56">
        <v>1289010000</v>
      </c>
      <c r="AX7" s="55">
        <v>10024.9</v>
      </c>
      <c r="AY7" s="91">
        <f t="shared" ref="AY7:AY10" si="17">AW7*AU$49</f>
        <v>1301.9001000000001</v>
      </c>
      <c r="AZ7" s="91">
        <f t="shared" ref="AZ7:AZ10" si="18">AW7*AX7*AU$48</f>
        <v>512.45183420046169</v>
      </c>
      <c r="BA7" s="91">
        <f t="shared" ref="BA7:BA10" si="19">SUM(AY7:AZ7)*0.000000000001</f>
        <v>1.8143519342004618E-9</v>
      </c>
      <c r="BB7" s="91">
        <f t="shared" ref="BB7:BB10" si="20">AW7*AU$50*0.000000000001</f>
        <v>7.2952685037719445E-10</v>
      </c>
      <c r="BE7" s="55" t="s">
        <v>47</v>
      </c>
      <c r="BG7" s="55" t="s">
        <v>1</v>
      </c>
      <c r="BH7" s="55">
        <v>1143772.0999999994</v>
      </c>
      <c r="BI7" s="56">
        <v>15566161581.000004</v>
      </c>
      <c r="BJ7" s="2">
        <v>3240</v>
      </c>
      <c r="BK7" s="91">
        <f t="shared" ref="BK7:BK8" si="21">BI7*BG$38</f>
        <v>15721.823196810004</v>
      </c>
      <c r="BL7" s="91">
        <f t="shared" ref="BL7:BL8" si="22">BI7*BJ7*BG$37</f>
        <v>2000.0610883619102</v>
      </c>
      <c r="BM7" s="91">
        <f t="shared" ref="BM7:BM8" si="23">SUM(BK7:BL7)*0.000000000001</f>
        <v>1.7721884285171917E-8</v>
      </c>
      <c r="BN7" s="91">
        <f t="shared" ref="BN7:BN8" si="24">BI7*BG$39*0.000000000001</f>
        <v>1.9701803706124705E-8</v>
      </c>
      <c r="BO7" s="56">
        <f t="shared" ref="BO7:BO8" si="25">BN7-BM7</f>
        <v>1.9799194209527886E-9</v>
      </c>
      <c r="BP7" s="10"/>
      <c r="BR7" s="55" t="s">
        <v>5</v>
      </c>
      <c r="BS7" s="55">
        <f>2060.63</f>
        <v>2060.63</v>
      </c>
      <c r="BT7" s="56">
        <v>6626980</v>
      </c>
      <c r="BU7" s="2">
        <v>5203.3100000000004</v>
      </c>
      <c r="BV7" s="91">
        <f>BT7*BR$36</f>
        <v>6.6932498000000002</v>
      </c>
      <c r="BW7" s="91">
        <f>BT7*BU7*BR$35</f>
        <v>1.3674519564411618</v>
      </c>
      <c r="BX7" s="91">
        <f>SUM(BV7:BW7)*0.000000000001</f>
        <v>8.0607017564411621E-12</v>
      </c>
      <c r="BY7" s="91">
        <f>BT7*BR$37*0.000000000001</f>
        <v>1.7969614533737706E-11</v>
      </c>
      <c r="BZ7" s="56"/>
      <c r="CA7" s="56"/>
      <c r="CC7" s="55" t="s">
        <v>17</v>
      </c>
      <c r="CD7" s="12">
        <v>69050.75</v>
      </c>
      <c r="CE7" s="56">
        <v>1289010000</v>
      </c>
      <c r="CF7" s="55">
        <v>10024.9</v>
      </c>
      <c r="CG7" s="91">
        <f t="shared" si="0"/>
        <v>1301.9001000000001</v>
      </c>
      <c r="CH7" s="91">
        <f t="shared" si="1"/>
        <v>512.45183420046169</v>
      </c>
      <c r="CI7" s="91">
        <f t="shared" si="2"/>
        <v>1.8143519342004618E-9</v>
      </c>
      <c r="CJ7" s="91">
        <f t="shared" si="3"/>
        <v>6.7514098441563639E-9</v>
      </c>
      <c r="CM7" s="55" t="s">
        <v>47</v>
      </c>
      <c r="CO7" s="55" t="s">
        <v>1</v>
      </c>
      <c r="CP7" s="55">
        <v>1143772.0999999994</v>
      </c>
      <c r="CQ7" s="56">
        <v>15566161581.000004</v>
      </c>
      <c r="CR7" s="2">
        <v>3240</v>
      </c>
      <c r="CS7" s="91">
        <f t="shared" si="4"/>
        <v>15721.823196810004</v>
      </c>
      <c r="CT7" s="91">
        <f t="shared" si="5"/>
        <v>2000.0610883619102</v>
      </c>
      <c r="CU7" s="91">
        <f t="shared" si="6"/>
        <v>1.7721884285171917E-8</v>
      </c>
      <c r="CV7" s="91">
        <f t="shared" si="7"/>
        <v>1.3328315723144768E-7</v>
      </c>
      <c r="CW7" s="56">
        <f t="shared" ref="CW7:CW8" si="26">CV7-CU7</f>
        <v>1.1556127294627577E-7</v>
      </c>
    </row>
    <row r="8" spans="1:101" x14ac:dyDescent="0.35">
      <c r="B8" s="1" t="s">
        <v>27</v>
      </c>
      <c r="D8" s="56"/>
      <c r="F8" s="56">
        <f t="shared" ref="F8:G8" si="27">SUM(F6:F7)</f>
        <v>6493.0445497999999</v>
      </c>
      <c r="G8" s="56">
        <f t="shared" si="27"/>
        <v>388.27052950484705</v>
      </c>
      <c r="H8" s="56">
        <f>SUM(H6:H7)</f>
        <v>6.8813150793048477E-9</v>
      </c>
      <c r="I8" s="56">
        <f>SUM(I6:I7)</f>
        <v>6.2152788481755226E-9</v>
      </c>
      <c r="J8" s="56">
        <f>I8-H8</f>
        <v>-6.6603623112932515E-10</v>
      </c>
      <c r="K8" s="56"/>
      <c r="M8" s="55" t="s">
        <v>18</v>
      </c>
      <c r="N8" s="12">
        <v>53664.02</v>
      </c>
      <c r="O8" s="56">
        <v>1443590000</v>
      </c>
      <c r="P8" s="55">
        <v>4511.93</v>
      </c>
      <c r="Q8" s="56">
        <f t="shared" si="8"/>
        <v>1458.0259000000001</v>
      </c>
      <c r="R8" s="56">
        <f t="shared" si="9"/>
        <v>258.29912462634627</v>
      </c>
      <c r="S8" s="56">
        <f t="shared" si="10"/>
        <v>1.7163250246263465E-9</v>
      </c>
      <c r="T8" s="56">
        <f t="shared" si="11"/>
        <v>2.2780672561967492E-9</v>
      </c>
      <c r="W8" s="55" t="s">
        <v>43</v>
      </c>
      <c r="Y8" s="55" t="s">
        <v>1</v>
      </c>
      <c r="Z8" s="55">
        <v>1143772.0999999994</v>
      </c>
      <c r="AA8" s="55">
        <v>15566161581.000004</v>
      </c>
      <c r="AB8" s="55">
        <v>19095.3</v>
      </c>
      <c r="AC8" s="56">
        <f t="shared" si="12"/>
        <v>15721.823196810004</v>
      </c>
      <c r="AD8" s="56">
        <f t="shared" si="13"/>
        <v>11787.582253270735</v>
      </c>
      <c r="AE8" s="56">
        <f t="shared" si="14"/>
        <v>2.7509405450080739E-8</v>
      </c>
      <c r="AF8" s="56">
        <f t="shared" si="15"/>
        <v>4.8518497793960484E-8</v>
      </c>
      <c r="AG8" s="56">
        <f t="shared" si="16"/>
        <v>2.1009092343879745E-8</v>
      </c>
      <c r="AH8" s="10"/>
      <c r="AJ8" s="1" t="s">
        <v>27</v>
      </c>
      <c r="AL8" s="56"/>
      <c r="AN8" s="56">
        <f t="shared" ref="AN8:AO8" si="28">SUM(AN6:AN7)</f>
        <v>6493.0445497999999</v>
      </c>
      <c r="AO8" s="56">
        <f t="shared" si="28"/>
        <v>388.27052950484705</v>
      </c>
      <c r="AP8" s="56">
        <f>SUM(AP6:AP7)</f>
        <v>6.8813150793048477E-9</v>
      </c>
      <c r="AQ8" s="56">
        <f>SUM(AQ6:AQ7)</f>
        <v>2.6532151928576149E-9</v>
      </c>
      <c r="AR8" s="56">
        <f>AQ8-AP8</f>
        <v>-4.2280998864472332E-9</v>
      </c>
      <c r="AS8" s="56"/>
      <c r="AU8" s="55" t="s">
        <v>18</v>
      </c>
      <c r="AV8" s="12">
        <v>53664.02</v>
      </c>
      <c r="AW8" s="56">
        <v>1443590000</v>
      </c>
      <c r="AX8" s="55">
        <v>4511.93</v>
      </c>
      <c r="AY8" s="91">
        <f t="shared" si="17"/>
        <v>1458.0259000000001</v>
      </c>
      <c r="AZ8" s="91">
        <f t="shared" si="18"/>
        <v>258.29912462634627</v>
      </c>
      <c r="BA8" s="91">
        <f t="shared" si="19"/>
        <v>1.7163250246263465E-9</v>
      </c>
      <c r="BB8" s="91">
        <f t="shared" si="20"/>
        <v>8.1701279736853418E-10</v>
      </c>
      <c r="BE8" s="55" t="s">
        <v>43</v>
      </c>
      <c r="BG8" s="55" t="s">
        <v>1</v>
      </c>
      <c r="BH8" s="55">
        <v>1143772.0999999994</v>
      </c>
      <c r="BI8" s="55">
        <v>15566161581.000004</v>
      </c>
      <c r="BJ8" s="55">
        <v>19095.3</v>
      </c>
      <c r="BK8" s="91">
        <f t="shared" si="21"/>
        <v>15721.823196810004</v>
      </c>
      <c r="BL8" s="91">
        <f t="shared" si="22"/>
        <v>11787.582253270735</v>
      </c>
      <c r="BM8" s="91">
        <f t="shared" si="23"/>
        <v>2.7509405450080739E-8</v>
      </c>
      <c r="BN8" s="91">
        <f t="shared" si="24"/>
        <v>1.9701803706124705E-8</v>
      </c>
      <c r="BO8" s="56">
        <f t="shared" si="25"/>
        <v>-7.8076017439560336E-9</v>
      </c>
      <c r="BP8" s="10"/>
      <c r="BR8" s="1" t="s">
        <v>27</v>
      </c>
      <c r="BT8" s="56"/>
      <c r="BV8" s="56">
        <f t="shared" ref="BV8:BW8" si="29">SUM(BV6:BV7)</f>
        <v>6493.0445497999999</v>
      </c>
      <c r="BW8" s="56">
        <f t="shared" si="29"/>
        <v>388.27052950484705</v>
      </c>
      <c r="BX8" s="56">
        <f>SUM(BX6:BX7)</f>
        <v>6.8813150793048477E-9</v>
      </c>
      <c r="BY8" s="56">
        <f>SUM(BY6:BY7)</f>
        <v>1.7432116116492836E-8</v>
      </c>
      <c r="BZ8" s="56">
        <f>BY8-BX8</f>
        <v>1.0550801037187988E-8</v>
      </c>
      <c r="CA8" s="56"/>
      <c r="CC8" s="55" t="s">
        <v>18</v>
      </c>
      <c r="CD8" s="12">
        <v>53664.02</v>
      </c>
      <c r="CE8" s="56">
        <v>1443590000</v>
      </c>
      <c r="CF8" s="55">
        <v>4511.93</v>
      </c>
      <c r="CG8" s="91">
        <f t="shared" si="0"/>
        <v>1458.0259000000001</v>
      </c>
      <c r="CH8" s="91">
        <f t="shared" si="1"/>
        <v>258.29912462634627</v>
      </c>
      <c r="CI8" s="91">
        <f t="shared" si="2"/>
        <v>1.7163250246263465E-9</v>
      </c>
      <c r="CJ8" s="91">
        <f t="shared" si="3"/>
        <v>7.5610489731853785E-9</v>
      </c>
      <c r="CM8" s="55" t="s">
        <v>43</v>
      </c>
      <c r="CO8" s="55" t="s">
        <v>1</v>
      </c>
      <c r="CP8" s="55">
        <v>1143772.0999999994</v>
      </c>
      <c r="CQ8" s="55">
        <v>15566161581.000004</v>
      </c>
      <c r="CR8" s="55">
        <v>19095.3</v>
      </c>
      <c r="CS8" s="91">
        <f t="shared" si="4"/>
        <v>15721.823196810004</v>
      </c>
      <c r="CT8" s="91">
        <f t="shared" si="5"/>
        <v>11787.582253270735</v>
      </c>
      <c r="CU8" s="91">
        <f t="shared" si="6"/>
        <v>2.7509405450080739E-8</v>
      </c>
      <c r="CV8" s="91">
        <f t="shared" si="7"/>
        <v>1.3328315723144768E-7</v>
      </c>
      <c r="CW8" s="56">
        <f t="shared" si="26"/>
        <v>1.0577375178136694E-7</v>
      </c>
    </row>
    <row r="9" spans="1:101" x14ac:dyDescent="0.35">
      <c r="A9" s="55">
        <v>2023</v>
      </c>
      <c r="B9" s="55" t="s">
        <v>3</v>
      </c>
      <c r="C9" s="55">
        <f>273291.5</f>
        <v>273291.5</v>
      </c>
      <c r="D9" s="56" t="s">
        <v>7</v>
      </c>
      <c r="M9" s="55" t="s">
        <v>19</v>
      </c>
      <c r="N9" s="12">
        <v>5064.8999999999996</v>
      </c>
      <c r="O9" s="56">
        <v>157695000</v>
      </c>
      <c r="P9" s="55">
        <v>13389.8</v>
      </c>
      <c r="Q9" s="56">
        <f t="shared" si="8"/>
        <v>159.27195</v>
      </c>
      <c r="R9" s="56">
        <f t="shared" si="9"/>
        <v>83.735328759977733</v>
      </c>
      <c r="S9" s="56">
        <f t="shared" si="10"/>
        <v>2.4300727875997773E-10</v>
      </c>
      <c r="T9" s="56">
        <f t="shared" si="11"/>
        <v>2.4885169332424471E-10</v>
      </c>
      <c r="X9" s="55">
        <v>2023</v>
      </c>
      <c r="Y9" s="55" t="s">
        <v>24</v>
      </c>
      <c r="Z9" s="55">
        <v>1879083.3799999987</v>
      </c>
      <c r="AA9" s="56">
        <v>36631689794.419991</v>
      </c>
      <c r="AI9" s="55">
        <v>2023</v>
      </c>
      <c r="AJ9" s="55" t="s">
        <v>3</v>
      </c>
      <c r="AK9" s="55">
        <f>273291.5</f>
        <v>273291.5</v>
      </c>
      <c r="AL9" s="56" t="s">
        <v>7</v>
      </c>
      <c r="AU9" s="55" t="s">
        <v>19</v>
      </c>
      <c r="AV9" s="12">
        <v>5064.8999999999996</v>
      </c>
      <c r="AW9" s="56">
        <v>157695000</v>
      </c>
      <c r="AX9" s="55">
        <v>13389.8</v>
      </c>
      <c r="AY9" s="91">
        <f t="shared" si="17"/>
        <v>159.27195</v>
      </c>
      <c r="AZ9" s="91">
        <f t="shared" si="18"/>
        <v>83.735328759977733</v>
      </c>
      <c r="BA9" s="91">
        <f t="shared" si="19"/>
        <v>2.4300727875997773E-10</v>
      </c>
      <c r="BB9" s="91">
        <f t="shared" si="20"/>
        <v>8.9248909372488722E-11</v>
      </c>
      <c r="BF9" s="55">
        <v>2023</v>
      </c>
      <c r="BG9" s="55" t="s">
        <v>24</v>
      </c>
      <c r="BH9" s="55">
        <v>1879083.3799999987</v>
      </c>
      <c r="BI9" s="56">
        <v>36631689794.419991</v>
      </c>
      <c r="BQ9" s="55">
        <v>2023</v>
      </c>
      <c r="BR9" s="55" t="s">
        <v>3</v>
      </c>
      <c r="BS9" s="55">
        <f>273291.5</f>
        <v>273291.5</v>
      </c>
      <c r="BT9" s="56" t="s">
        <v>7</v>
      </c>
      <c r="CC9" s="55" t="s">
        <v>19</v>
      </c>
      <c r="CD9" s="12">
        <v>5064.8999999999996</v>
      </c>
      <c r="CE9" s="56">
        <v>157695000</v>
      </c>
      <c r="CF9" s="55">
        <v>13389.8</v>
      </c>
      <c r="CG9" s="91">
        <f t="shared" si="0"/>
        <v>159.27195</v>
      </c>
      <c r="CH9" s="91">
        <f t="shared" si="1"/>
        <v>83.735328759977733</v>
      </c>
      <c r="CI9" s="91">
        <f t="shared" si="2"/>
        <v>2.4300727875997773E-10</v>
      </c>
      <c r="CJ9" s="91">
        <f t="shared" si="3"/>
        <v>8.2595447310279799E-10</v>
      </c>
      <c r="CN9" s="55">
        <v>2023</v>
      </c>
      <c r="CO9" s="55" t="s">
        <v>24</v>
      </c>
      <c r="CP9" s="55">
        <v>1879083.3799999987</v>
      </c>
      <c r="CQ9" s="56">
        <v>36631689794.419991</v>
      </c>
    </row>
    <row r="10" spans="1:101" ht="15" thickBot="1" x14ac:dyDescent="0.4">
      <c r="B10" s="55" t="s">
        <v>4</v>
      </c>
      <c r="C10" s="55">
        <f>268813.66</f>
        <v>268813.65999999997</v>
      </c>
      <c r="D10" s="13">
        <v>5918180000</v>
      </c>
      <c r="E10" s="55">
        <v>1519.17</v>
      </c>
      <c r="F10" s="56">
        <f>D10*$B$36</f>
        <v>5977.3618000000006</v>
      </c>
      <c r="G10" s="56">
        <f>D10*E10*$B$35</f>
        <v>356.54246418017459</v>
      </c>
      <c r="H10" s="56">
        <f>SUM(F10:G10)*0.000000000001</f>
        <v>6.3339042641801752E-9</v>
      </c>
      <c r="I10" s="56">
        <f>D10*$B$37*0.000000000001</f>
        <v>5.7216564707809835E-9</v>
      </c>
      <c r="J10" s="56"/>
      <c r="K10" s="56"/>
      <c r="M10" s="55" t="s">
        <v>20</v>
      </c>
      <c r="N10" s="12">
        <v>2239.1799999999998</v>
      </c>
      <c r="O10" s="56">
        <v>77530100</v>
      </c>
      <c r="P10" s="55">
        <v>13090.6</v>
      </c>
      <c r="Q10" s="56">
        <f t="shared" si="8"/>
        <v>78.305401000000003</v>
      </c>
      <c r="R10" s="56">
        <f t="shared" si="9"/>
        <v>40.248213953247465</v>
      </c>
      <c r="S10" s="56">
        <f t="shared" si="10"/>
        <v>1.1855361495324746E-10</v>
      </c>
      <c r="T10" s="56">
        <f t="shared" si="11"/>
        <v>1.2234691441452185E-10</v>
      </c>
      <c r="W10" s="55" t="s">
        <v>42</v>
      </c>
      <c r="Y10" s="55" t="s">
        <v>1</v>
      </c>
      <c r="Z10" s="55">
        <f>Z9-(C9+N12)</f>
        <v>1274124.8299999987</v>
      </c>
      <c r="AA10" s="56">
        <f>AA9-(O12+D13)</f>
        <v>24527849794.419991</v>
      </c>
      <c r="AB10" s="2">
        <v>38.352499999999999</v>
      </c>
      <c r="AC10" s="56">
        <f>AA10*$Y$38</f>
        <v>24773.128292364192</v>
      </c>
      <c r="AD10" s="56">
        <f>AA10*AB10*$Y$37</f>
        <v>37.305242956663918</v>
      </c>
      <c r="AE10" s="56">
        <f>SUM(AC10:AD10)*0.000000000001</f>
        <v>2.4810433535320856E-8</v>
      </c>
      <c r="AF10" s="56">
        <f>AA10*$Y$39*0.000000000001</f>
        <v>7.6451373059992926E-8</v>
      </c>
      <c r="AG10" s="56">
        <f>AF10-AE10</f>
        <v>5.1640939524672069E-8</v>
      </c>
      <c r="AH10" s="10"/>
      <c r="AJ10" s="55" t="s">
        <v>4</v>
      </c>
      <c r="AK10" s="55">
        <f>268813.66</f>
        <v>268813.65999999997</v>
      </c>
      <c r="AL10" s="13">
        <v>5918180000</v>
      </c>
      <c r="AM10" s="55">
        <v>1519.17</v>
      </c>
      <c r="AN10" s="91">
        <f>AL10*AJ$36</f>
        <v>5977.3618000000006</v>
      </c>
      <c r="AO10" s="91">
        <f>AL10*AM10*AJ$35</f>
        <v>356.54246418017459</v>
      </c>
      <c r="AP10" s="91">
        <f>SUM(AN10:AO10)*0.000000000001</f>
        <v>6.3339042641801752E-9</v>
      </c>
      <c r="AQ10" s="91">
        <f>AL10*AJ$37*0.000000000001</f>
        <v>2.4424947371499615E-9</v>
      </c>
      <c r="AR10" s="56"/>
      <c r="AS10" s="56"/>
      <c r="AU10" s="55" t="s">
        <v>20</v>
      </c>
      <c r="AV10" s="12">
        <v>2239.1799999999998</v>
      </c>
      <c r="AW10" s="56">
        <v>77530100</v>
      </c>
      <c r="AX10" s="55">
        <v>13090.6</v>
      </c>
      <c r="AY10" s="91">
        <f t="shared" si="17"/>
        <v>78.305401000000003</v>
      </c>
      <c r="AZ10" s="91">
        <f t="shared" si="18"/>
        <v>40.248213953247465</v>
      </c>
      <c r="BA10" s="91">
        <f t="shared" si="19"/>
        <v>1.1855361495324746E-10</v>
      </c>
      <c r="BB10" s="91">
        <f t="shared" si="20"/>
        <v>4.3878860258980869E-11</v>
      </c>
      <c r="BE10" s="55" t="s">
        <v>42</v>
      </c>
      <c r="BG10" s="55" t="s">
        <v>1</v>
      </c>
      <c r="BH10" s="55">
        <f>BH9-(AK9+AV12)</f>
        <v>1274124.8299999987</v>
      </c>
      <c r="BI10" s="56">
        <f>BI9-(AW12+AL13)</f>
        <v>24527849794.419991</v>
      </c>
      <c r="BJ10" s="2">
        <v>38.352499999999999</v>
      </c>
      <c r="BK10" s="91">
        <f t="shared" ref="BK10:BK12" si="30">BI10*BG$38</f>
        <v>24773.128292364192</v>
      </c>
      <c r="BL10" s="91">
        <f t="shared" ref="BL10:BL12" si="31">BI10*BJ10*BG$37</f>
        <v>37.305242956663918</v>
      </c>
      <c r="BM10" s="91">
        <f t="shared" ref="BM10:BM12" si="32">SUM(BK10:BL10)*0.000000000001</f>
        <v>2.4810433535320856E-8</v>
      </c>
      <c r="BN10" s="91">
        <f t="shared" ref="BN10:BN12" si="33">BI10*BG$39*0.000000000001</f>
        <v>3.1044447243360126E-8</v>
      </c>
      <c r="BO10" s="56">
        <f>BN10-BM10</f>
        <v>6.2340137080392699E-9</v>
      </c>
      <c r="BP10" s="10"/>
      <c r="BR10" s="55" t="s">
        <v>4</v>
      </c>
      <c r="BS10" s="55">
        <f>268813.66</f>
        <v>268813.65999999997</v>
      </c>
      <c r="BT10" s="13">
        <v>5918180000</v>
      </c>
      <c r="BU10" s="55">
        <v>1519.17</v>
      </c>
      <c r="BV10" s="91">
        <f>BT10*BR$36</f>
        <v>5977.3618000000006</v>
      </c>
      <c r="BW10" s="91">
        <f>BT10*BU10*BR$35</f>
        <v>356.54246418017459</v>
      </c>
      <c r="BX10" s="91">
        <f>SUM(BV10:BW10)*0.000000000001</f>
        <v>6.3339042641801752E-9</v>
      </c>
      <c r="BY10" s="91">
        <f>BT10*BR$37*0.000000000001</f>
        <v>1.6047643623683155E-8</v>
      </c>
      <c r="BZ10" s="56"/>
      <c r="CA10" s="56"/>
      <c r="CC10" s="55" t="s">
        <v>20</v>
      </c>
      <c r="CD10" s="12">
        <v>2239.1799999999998</v>
      </c>
      <c r="CE10" s="56">
        <v>77530100</v>
      </c>
      <c r="CF10" s="55">
        <v>13090.6</v>
      </c>
      <c r="CG10" s="91">
        <f t="shared" si="0"/>
        <v>78.305401000000003</v>
      </c>
      <c r="CH10" s="91">
        <f t="shared" si="1"/>
        <v>40.248213953247465</v>
      </c>
      <c r="CI10" s="91">
        <f t="shared" si="2"/>
        <v>1.1855361495324746E-10</v>
      </c>
      <c r="CJ10" s="91">
        <f t="shared" si="3"/>
        <v>4.0607712923749792E-10</v>
      </c>
      <c r="CM10" s="55" t="s">
        <v>42</v>
      </c>
      <c r="CO10" s="55" t="s">
        <v>1</v>
      </c>
      <c r="CP10" s="55">
        <f>CP9-(BS9+CD12)</f>
        <v>1274124.8299999987</v>
      </c>
      <c r="CQ10" s="56">
        <f>CQ9-(CE12+BT13)</f>
        <v>24527849794.419991</v>
      </c>
      <c r="CR10" s="2">
        <v>38.352499999999999</v>
      </c>
      <c r="CS10" s="91">
        <f t="shared" ref="CS10:CS12" si="34">CQ10*CO$38</f>
        <v>24773.128292364192</v>
      </c>
      <c r="CT10" s="91">
        <f t="shared" ref="CT10:CT12" si="35">CQ10*CR10*CO$37</f>
        <v>37.305242956663918</v>
      </c>
      <c r="CU10" s="91">
        <f t="shared" ref="CU10:CU12" si="36">SUM(CS10:CT10)*0.000000000001</f>
        <v>2.4810433535320856E-8</v>
      </c>
      <c r="CV10" s="91">
        <f t="shared" ref="CV10:CV12" si="37">CQ10*CO$39*0.000000000001</f>
        <v>2.1001640280345815E-7</v>
      </c>
      <c r="CW10" s="56">
        <f>CV10-CU10</f>
        <v>1.852059692681373E-7</v>
      </c>
    </row>
    <row r="11" spans="1:101" ht="15" thickBot="1" x14ac:dyDescent="0.4">
      <c r="B11" s="55" t="s">
        <v>5</v>
      </c>
      <c r="C11" s="55">
        <f>2805.04</f>
        <v>2805.04</v>
      </c>
      <c r="D11" s="14">
        <v>6985000</v>
      </c>
      <c r="E11" s="2">
        <v>5203.3100000000004</v>
      </c>
      <c r="F11" s="56">
        <f>D11*$B$36</f>
        <v>7.0548500000000001</v>
      </c>
      <c r="G11" s="56">
        <f>D11*E11*$B$35</f>
        <v>1.4413280130227515</v>
      </c>
      <c r="H11" s="56">
        <f>SUM(F11:G11)*0.000000000001</f>
        <v>8.4961780130227506E-12</v>
      </c>
      <c r="I11" s="56">
        <f>D11*$B$37*0.000000000001</f>
        <v>6.7530508447538213E-12</v>
      </c>
      <c r="J11" s="56"/>
      <c r="K11" s="56"/>
      <c r="M11" s="1" t="s">
        <v>27</v>
      </c>
      <c r="Q11" s="56">
        <f>SUM(Q6:Q10)</f>
        <v>5684.002351000001</v>
      </c>
      <c r="R11" s="56">
        <f t="shared" ref="R11:T11" si="38">SUM(R6:R10)</f>
        <v>1411.6607945187222</v>
      </c>
      <c r="S11" s="56">
        <f t="shared" si="38"/>
        <v>7.0956631455187222E-9</v>
      </c>
      <c r="T11" s="56">
        <f t="shared" si="38"/>
        <v>8.8808707993173795E-9</v>
      </c>
      <c r="U11" s="56">
        <f>T11-S11</f>
        <v>1.7852076537986573E-9</v>
      </c>
      <c r="V11" s="56"/>
      <c r="W11" s="55" t="s">
        <v>47</v>
      </c>
      <c r="Y11" s="55" t="s">
        <v>1</v>
      </c>
      <c r="Z11" s="55">
        <v>1274124.8299999987</v>
      </c>
      <c r="AA11" s="56">
        <v>24527849794.419991</v>
      </c>
      <c r="AB11" s="2">
        <v>3240</v>
      </c>
      <c r="AC11" s="56">
        <f t="shared" ref="AC11:AC12" si="39">AA11*$Y$38</f>
        <v>24773.128292364192</v>
      </c>
      <c r="AD11" s="56">
        <f t="shared" ref="AD11:AD12" si="40">AA11*AB11*$Y$37</f>
        <v>3151.5282492560095</v>
      </c>
      <c r="AE11" s="56">
        <f t="shared" ref="AE11:AE12" si="41">SUM(AC11:AD11)*0.000000000001</f>
        <v>2.7924656541620203E-8</v>
      </c>
      <c r="AF11" s="56">
        <f t="shared" ref="AF11:AF12" si="42">AA11*$Y$39*0.000000000001</f>
        <v>7.6451373059992926E-8</v>
      </c>
      <c r="AG11" s="56">
        <f t="shared" ref="AG11:AG12" si="43">AF11-AE11</f>
        <v>4.8526716518372726E-8</v>
      </c>
      <c r="AH11" s="10"/>
      <c r="AJ11" s="55" t="s">
        <v>5</v>
      </c>
      <c r="AK11" s="55">
        <f>2805.04</f>
        <v>2805.04</v>
      </c>
      <c r="AL11" s="14">
        <v>6985000</v>
      </c>
      <c r="AM11" s="2">
        <v>5203.3100000000004</v>
      </c>
      <c r="AN11" s="91">
        <f>AL11*AJ$36</f>
        <v>7.0548500000000001</v>
      </c>
      <c r="AO11" s="91">
        <f>AL11*AM11*AJ$35</f>
        <v>1.4413280130227515</v>
      </c>
      <c r="AP11" s="91">
        <f>SUM(AN11:AO11)*0.000000000001</f>
        <v>8.4961780130227506E-12</v>
      </c>
      <c r="AQ11" s="91">
        <f>AL11*AJ$37*0.000000000001</f>
        <v>2.8827825005309879E-12</v>
      </c>
      <c r="AR11" s="56"/>
      <c r="AS11" s="56"/>
      <c r="AU11" s="1" t="s">
        <v>27</v>
      </c>
      <c r="AY11" s="56">
        <f>SUM(AY6:AY10)</f>
        <v>5684.002351000001</v>
      </c>
      <c r="AZ11" s="56">
        <f t="shared" ref="AZ11:BB11" si="44">SUM(AZ6:AZ10)</f>
        <v>1411.6607945187222</v>
      </c>
      <c r="BA11" s="56">
        <f t="shared" si="44"/>
        <v>7.0956631455187222E-9</v>
      </c>
      <c r="BB11" s="56">
        <f t="shared" si="44"/>
        <v>3.1850618435789339E-9</v>
      </c>
      <c r="BC11" s="56">
        <f>BB11-BA11</f>
        <v>-3.9106013019397879E-9</v>
      </c>
      <c r="BD11" s="56"/>
      <c r="BE11" s="55" t="s">
        <v>47</v>
      </c>
      <c r="BG11" s="55" t="s">
        <v>1</v>
      </c>
      <c r="BH11" s="55">
        <v>1274124.8299999987</v>
      </c>
      <c r="BI11" s="56">
        <v>24527849794.419991</v>
      </c>
      <c r="BJ11" s="2">
        <v>3240</v>
      </c>
      <c r="BK11" s="91">
        <f t="shared" si="30"/>
        <v>24773.128292364192</v>
      </c>
      <c r="BL11" s="91">
        <f t="shared" si="31"/>
        <v>3151.5282492560095</v>
      </c>
      <c r="BM11" s="91">
        <f t="shared" si="32"/>
        <v>2.7924656541620203E-8</v>
      </c>
      <c r="BN11" s="91">
        <f t="shared" si="33"/>
        <v>3.1044447243360126E-8</v>
      </c>
      <c r="BO11" s="56">
        <f t="shared" ref="BO11:BO12" si="45">BN11-BM11</f>
        <v>3.1197907017399234E-9</v>
      </c>
      <c r="BP11" s="10"/>
      <c r="BR11" s="55" t="s">
        <v>5</v>
      </c>
      <c r="BS11" s="55">
        <f>2805.04</f>
        <v>2805.04</v>
      </c>
      <c r="BT11" s="14">
        <v>6985000</v>
      </c>
      <c r="BU11" s="2">
        <v>5203.3100000000004</v>
      </c>
      <c r="BV11" s="91">
        <f>BT11*BR$36</f>
        <v>7.0548500000000001</v>
      </c>
      <c r="BW11" s="91">
        <f>BT11*BU11*BR$35</f>
        <v>1.4413280130227515</v>
      </c>
      <c r="BX11" s="91">
        <f>SUM(BV11:BW11)*0.000000000001</f>
        <v>8.4961780130227506E-12</v>
      </c>
      <c r="BY11" s="91">
        <f>BT11*BR$37*0.000000000001</f>
        <v>1.8940415923717568E-11</v>
      </c>
      <c r="BZ11" s="56"/>
      <c r="CA11" s="56"/>
      <c r="CC11" s="1" t="s">
        <v>27</v>
      </c>
      <c r="CG11" s="56">
        <f>SUM(CG6:CG10)</f>
        <v>5684.002351000001</v>
      </c>
      <c r="CH11" s="56">
        <f t="shared" ref="CH11:CJ11" si="46">SUM(CH6:CH10)</f>
        <v>1411.6607945187222</v>
      </c>
      <c r="CI11" s="56">
        <f t="shared" si="46"/>
        <v>7.0956631455187222E-9</v>
      </c>
      <c r="CJ11" s="56">
        <f t="shared" si="46"/>
        <v>2.9476170580791344E-8</v>
      </c>
      <c r="CK11" s="56">
        <f>CJ11-CI11</f>
        <v>2.2380507435272621E-8</v>
      </c>
      <c r="CL11" s="56"/>
      <c r="CM11" s="55" t="s">
        <v>47</v>
      </c>
      <c r="CO11" s="55" t="s">
        <v>1</v>
      </c>
      <c r="CP11" s="55">
        <v>1274124.8299999987</v>
      </c>
      <c r="CQ11" s="56">
        <v>24527849794.419991</v>
      </c>
      <c r="CR11" s="2">
        <v>3240</v>
      </c>
      <c r="CS11" s="91">
        <f t="shared" si="34"/>
        <v>24773.128292364192</v>
      </c>
      <c r="CT11" s="91">
        <f t="shared" si="35"/>
        <v>3151.5282492560095</v>
      </c>
      <c r="CU11" s="91">
        <f t="shared" si="36"/>
        <v>2.7924656541620203E-8</v>
      </c>
      <c r="CV11" s="91">
        <f t="shared" si="37"/>
        <v>2.1001640280345815E-7</v>
      </c>
      <c r="CW11" s="56">
        <f t="shared" ref="CW11:CW12" si="47">CV11-CU11</f>
        <v>1.8209174626183794E-7</v>
      </c>
    </row>
    <row r="12" spans="1:101" ht="15" thickBot="1" x14ac:dyDescent="0.4">
      <c r="B12" s="1" t="s">
        <v>27</v>
      </c>
      <c r="D12" s="56"/>
      <c r="F12" s="56">
        <f t="shared" ref="F12:G12" si="48">SUM(F10:F11)</f>
        <v>5984.416650000001</v>
      </c>
      <c r="G12" s="56">
        <f t="shared" si="48"/>
        <v>357.98379219319736</v>
      </c>
      <c r="H12" s="56">
        <f>SUM(H10:H11)</f>
        <v>6.3424004421931977E-9</v>
      </c>
      <c r="I12" s="56">
        <f>SUM(I10:I11)</f>
        <v>5.7284095216257371E-9</v>
      </c>
      <c r="J12" s="56">
        <f>I12-H12</f>
        <v>-6.1399092056746061E-10</v>
      </c>
      <c r="K12" s="56"/>
      <c r="L12" s="55">
        <v>2023</v>
      </c>
      <c r="M12" s="55" t="s">
        <v>22</v>
      </c>
      <c r="N12" s="55">
        <v>331667.05</v>
      </c>
      <c r="O12" s="56">
        <v>6497940000</v>
      </c>
      <c r="W12" s="55" t="s">
        <v>43</v>
      </c>
      <c r="Y12" s="55" t="s">
        <v>1</v>
      </c>
      <c r="Z12" s="55">
        <v>1274124.8299999987</v>
      </c>
      <c r="AA12" s="55">
        <v>24527849794.419991</v>
      </c>
      <c r="AB12" s="55">
        <v>19095.3</v>
      </c>
      <c r="AC12" s="56">
        <f t="shared" si="39"/>
        <v>24773.128292364192</v>
      </c>
      <c r="AD12" s="56">
        <f t="shared" si="40"/>
        <v>18573.881906795763</v>
      </c>
      <c r="AE12" s="56">
        <f t="shared" si="41"/>
        <v>4.3347010199159953E-8</v>
      </c>
      <c r="AF12" s="56">
        <f t="shared" si="42"/>
        <v>7.6451373059992926E-8</v>
      </c>
      <c r="AG12" s="56">
        <f t="shared" si="43"/>
        <v>3.3104362860832973E-8</v>
      </c>
      <c r="AH12" s="10"/>
      <c r="AJ12" s="1" t="s">
        <v>27</v>
      </c>
      <c r="AL12" s="56"/>
      <c r="AN12" s="56">
        <f t="shared" ref="AN12:AO12" si="49">SUM(AN10:AN11)</f>
        <v>5984.416650000001</v>
      </c>
      <c r="AO12" s="56">
        <f t="shared" si="49"/>
        <v>357.98379219319736</v>
      </c>
      <c r="AP12" s="56">
        <f>SUM(AP10:AP11)</f>
        <v>6.3424004421931977E-9</v>
      </c>
      <c r="AQ12" s="56">
        <f>SUM(AQ10:AQ11)</f>
        <v>2.4453775196504924E-9</v>
      </c>
      <c r="AR12" s="56">
        <f>AQ12-AP12</f>
        <v>-3.8970229225427057E-9</v>
      </c>
      <c r="AS12" s="56"/>
      <c r="AT12" s="55">
        <v>2023</v>
      </c>
      <c r="AU12" s="55" t="s">
        <v>22</v>
      </c>
      <c r="AV12" s="55">
        <v>331667.05</v>
      </c>
      <c r="AW12" s="56">
        <v>6497940000</v>
      </c>
      <c r="BE12" s="55" t="s">
        <v>43</v>
      </c>
      <c r="BG12" s="55" t="s">
        <v>1</v>
      </c>
      <c r="BH12" s="55">
        <v>1274124.8299999987</v>
      </c>
      <c r="BI12" s="55">
        <v>24527849794.419991</v>
      </c>
      <c r="BJ12" s="55">
        <v>19095.3</v>
      </c>
      <c r="BK12" s="91">
        <f t="shared" si="30"/>
        <v>24773.128292364192</v>
      </c>
      <c r="BL12" s="91">
        <f t="shared" si="31"/>
        <v>18573.881906795763</v>
      </c>
      <c r="BM12" s="91">
        <f t="shared" si="32"/>
        <v>4.3347010199159953E-8</v>
      </c>
      <c r="BN12" s="91">
        <f t="shared" si="33"/>
        <v>3.1044447243360126E-8</v>
      </c>
      <c r="BO12" s="56">
        <f t="shared" si="45"/>
        <v>-1.2302562955799826E-8</v>
      </c>
      <c r="BP12" s="10"/>
      <c r="BR12" s="1" t="s">
        <v>27</v>
      </c>
      <c r="BT12" s="56"/>
      <c r="BV12" s="56">
        <f t="shared" ref="BV12:BW12" si="50">SUM(BV10:BV11)</f>
        <v>5984.416650000001</v>
      </c>
      <c r="BW12" s="56">
        <f t="shared" si="50"/>
        <v>357.98379219319736</v>
      </c>
      <c r="BX12" s="56">
        <f>SUM(BX10:BX11)</f>
        <v>6.3424004421931977E-9</v>
      </c>
      <c r="BY12" s="56">
        <f>SUM(BY10:BY11)</f>
        <v>1.6066584039606874E-8</v>
      </c>
      <c r="BZ12" s="56">
        <f>BY12-BX12</f>
        <v>9.7241835974136764E-9</v>
      </c>
      <c r="CA12" s="56"/>
      <c r="CB12" s="55">
        <v>2023</v>
      </c>
      <c r="CC12" s="55" t="s">
        <v>22</v>
      </c>
      <c r="CD12" s="55">
        <v>331667.05</v>
      </c>
      <c r="CE12" s="56">
        <v>6497940000</v>
      </c>
      <c r="CM12" s="55" t="s">
        <v>43</v>
      </c>
      <c r="CO12" s="55" t="s">
        <v>1</v>
      </c>
      <c r="CP12" s="55">
        <v>1274124.8299999987</v>
      </c>
      <c r="CQ12" s="55">
        <v>24527849794.419991</v>
      </c>
      <c r="CR12" s="55">
        <v>19095.3</v>
      </c>
      <c r="CS12" s="91">
        <f t="shared" si="34"/>
        <v>24773.128292364192</v>
      </c>
      <c r="CT12" s="91">
        <f t="shared" si="35"/>
        <v>18573.881906795763</v>
      </c>
      <c r="CU12" s="91">
        <f t="shared" si="36"/>
        <v>4.3347010199159953E-8</v>
      </c>
      <c r="CV12" s="91">
        <f t="shared" si="37"/>
        <v>2.1001640280345815E-7</v>
      </c>
      <c r="CW12" s="56">
        <f t="shared" si="47"/>
        <v>1.666693926042982E-7</v>
      </c>
    </row>
    <row r="13" spans="1:101" ht="15" thickBot="1" x14ac:dyDescent="0.4">
      <c r="A13" s="55">
        <v>2022</v>
      </c>
      <c r="B13" s="55" t="s">
        <v>3</v>
      </c>
      <c r="C13" s="6">
        <f>250154.5</f>
        <v>250154.5</v>
      </c>
      <c r="D13" s="13">
        <v>5605900000</v>
      </c>
      <c r="M13" s="55" t="s">
        <v>17</v>
      </c>
      <c r="N13" s="55">
        <v>108262.64</v>
      </c>
      <c r="O13" s="56">
        <v>1760010000</v>
      </c>
      <c r="P13" s="55">
        <v>10024.9</v>
      </c>
      <c r="Q13" s="56">
        <f>O13*$M$49</f>
        <v>1777.6101000000001</v>
      </c>
      <c r="R13" s="56">
        <f>O13*P13*$M$48</f>
        <v>699.70004322011039</v>
      </c>
      <c r="S13" s="56">
        <f>SUM(Q13:R13)*0.000000000001</f>
        <v>2.4773101432201105E-9</v>
      </c>
      <c r="T13" s="56">
        <f>O13*$M$50*0.000000000001</f>
        <v>2.7773960415206819E-9</v>
      </c>
      <c r="X13" s="55">
        <v>2022</v>
      </c>
      <c r="Y13" s="55" t="s">
        <v>24</v>
      </c>
      <c r="Z13" s="55">
        <v>1781736.8100000012</v>
      </c>
      <c r="AA13" s="56">
        <v>32802798737.869999</v>
      </c>
      <c r="AI13" s="55">
        <v>2022</v>
      </c>
      <c r="AJ13" s="55" t="s">
        <v>3</v>
      </c>
      <c r="AK13" s="6">
        <f>250154.5</f>
        <v>250154.5</v>
      </c>
      <c r="AL13" s="13">
        <v>5605900000</v>
      </c>
      <c r="AU13" s="55" t="s">
        <v>17</v>
      </c>
      <c r="AV13" s="55">
        <v>108262.64</v>
      </c>
      <c r="AW13" s="56">
        <v>1760010000</v>
      </c>
      <c r="AX13" s="55">
        <v>10024.9</v>
      </c>
      <c r="AY13" s="91">
        <f t="shared" ref="AY13:AY18" si="51">AW13*AU$49</f>
        <v>1777.6101000000001</v>
      </c>
      <c r="AZ13" s="91">
        <f t="shared" ref="AZ13:AZ18" si="52">AW13*AX13*AU$48</f>
        <v>699.70004322011039</v>
      </c>
      <c r="BA13" s="91">
        <f t="shared" ref="BA13:BA18" si="53">SUM(AY13:AZ13)*0.000000000001</f>
        <v>2.4773101432201105E-9</v>
      </c>
      <c r="BB13" s="91">
        <f t="shared" ref="BB13:BB18" si="54">AW13*AU$50*0.000000000001</f>
        <v>9.9609355391530404E-10</v>
      </c>
      <c r="BF13" s="55">
        <v>2022</v>
      </c>
      <c r="BG13" s="55" t="s">
        <v>24</v>
      </c>
      <c r="BH13" s="55">
        <v>1781736.8100000012</v>
      </c>
      <c r="BI13" s="56">
        <v>32802798737.869999</v>
      </c>
      <c r="BQ13" s="55">
        <v>2022</v>
      </c>
      <c r="BR13" s="55" t="s">
        <v>3</v>
      </c>
      <c r="BS13" s="6">
        <f>250154.5</f>
        <v>250154.5</v>
      </c>
      <c r="BT13" s="13">
        <v>5605900000</v>
      </c>
      <c r="CC13" s="55" t="s">
        <v>17</v>
      </c>
      <c r="CD13" s="55">
        <v>108262.64</v>
      </c>
      <c r="CE13" s="56">
        <v>1760010000</v>
      </c>
      <c r="CF13" s="55">
        <v>10024.9</v>
      </c>
      <c r="CG13" s="91">
        <f t="shared" ref="CG13:CG18" si="55">CE13*CC$49</f>
        <v>1777.6101000000001</v>
      </c>
      <c r="CH13" s="91">
        <f t="shared" ref="CH13:CH18" si="56">CE13*CF13*CC$48</f>
        <v>699.70004322011039</v>
      </c>
      <c r="CI13" s="91">
        <f t="shared" ref="CI13:CI18" si="57">SUM(CG13:CH13)*0.000000000001</f>
        <v>2.4773101432201105E-9</v>
      </c>
      <c r="CJ13" s="91">
        <f t="shared" ref="CJ13:CJ18" si="58">CE13*CC$50*0.000000000001</f>
        <v>9.2183527201601552E-9</v>
      </c>
      <c r="CN13" s="55">
        <v>2022</v>
      </c>
      <c r="CO13" s="55" t="s">
        <v>24</v>
      </c>
      <c r="CP13" s="55">
        <v>1781736.8100000012</v>
      </c>
      <c r="CQ13" s="56">
        <v>32802798737.869999</v>
      </c>
    </row>
    <row r="14" spans="1:101" ht="15" thickBot="1" x14ac:dyDescent="0.4">
      <c r="B14" s="55" t="s">
        <v>4</v>
      </c>
      <c r="C14" s="5">
        <f>243422.45</f>
        <v>243422.45</v>
      </c>
      <c r="D14" s="14">
        <v>5566560000</v>
      </c>
      <c r="E14" s="55">
        <v>1519.17</v>
      </c>
      <c r="F14" s="56">
        <f>D14*$B$36</f>
        <v>5622.2256000000007</v>
      </c>
      <c r="G14" s="56">
        <f>D14*E14*$B$35</f>
        <v>335.35901567826471</v>
      </c>
      <c r="H14" s="56">
        <f>SUM(F14:G14)*0.000000000001</f>
        <v>5.9575846156782649E-9</v>
      </c>
      <c r="I14" s="56">
        <f>D14*$B$37*0.000000000001</f>
        <v>5.381712628542997E-9</v>
      </c>
      <c r="J14" s="56"/>
      <c r="K14" s="56"/>
      <c r="M14" s="55" t="s">
        <v>16</v>
      </c>
      <c r="N14" s="55">
        <v>88031.64</v>
      </c>
      <c r="O14" s="56">
        <v>2077560000</v>
      </c>
      <c r="P14" s="55">
        <v>4900.57</v>
      </c>
      <c r="Q14" s="56">
        <f t="shared" ref="Q14:Q18" si="59">O14*$M$49</f>
        <v>2098.3356000000003</v>
      </c>
      <c r="R14" s="56">
        <f t="shared" ref="R14:R18" si="60">O14*P14*$M$48</f>
        <v>403.75404685920716</v>
      </c>
      <c r="S14" s="56">
        <f t="shared" ref="S14:S18" si="61">SUM(Q14:R14)*0.000000000001</f>
        <v>2.5020896468592071E-9</v>
      </c>
      <c r="T14" s="56">
        <f t="shared" ref="T14:T18" si="62">O14*$M$50*0.000000000001</f>
        <v>3.2785080312167022E-9</v>
      </c>
      <c r="W14" s="55" t="s">
        <v>42</v>
      </c>
      <c r="Y14" s="55" t="s">
        <v>1</v>
      </c>
      <c r="Z14" s="16">
        <f>Z13-(N20+C13)</f>
        <v>1323496.0400000012</v>
      </c>
      <c r="AA14" s="56">
        <f>AA13-(O20+D13)</f>
        <v>23335498737.869999</v>
      </c>
      <c r="AB14" s="2">
        <v>38.352499999999999</v>
      </c>
      <c r="AC14" s="56">
        <f>AA14*$Y$38</f>
        <v>23568.8537252487</v>
      </c>
      <c r="AD14" s="56">
        <f>AA14*AB14*$Y$37</f>
        <v>35.491755585082259</v>
      </c>
      <c r="AE14" s="56">
        <f>SUM(AC14:AD14)*0.000000000001</f>
        <v>2.3604345480833782E-8</v>
      </c>
      <c r="AF14" s="56">
        <f>AA14*$Y$39*0.000000000001</f>
        <v>7.2734908869009581E-8</v>
      </c>
      <c r="AG14" s="56">
        <f>AF14-AE14</f>
        <v>4.9130563388175799E-8</v>
      </c>
      <c r="AH14" s="10"/>
      <c r="AJ14" s="55" t="s">
        <v>4</v>
      </c>
      <c r="AK14" s="5">
        <f>243422.45</f>
        <v>243422.45</v>
      </c>
      <c r="AL14" s="14">
        <v>5566560000</v>
      </c>
      <c r="AM14" s="55">
        <v>1519.17</v>
      </c>
      <c r="AN14" s="91">
        <f>AL14*AJ$36</f>
        <v>5622.2256000000007</v>
      </c>
      <c r="AO14" s="91">
        <f>AL14*AM14*AJ$35</f>
        <v>335.35901567826471</v>
      </c>
      <c r="AP14" s="91">
        <f>SUM(AN14:AO14)*0.000000000001</f>
        <v>5.9575846156782649E-9</v>
      </c>
      <c r="AQ14" s="91">
        <f>AL14*AJ$37*0.000000000001</f>
        <v>2.2973774883544416E-9</v>
      </c>
      <c r="AR14" s="56"/>
      <c r="AS14" s="56"/>
      <c r="AU14" s="55" t="s">
        <v>16</v>
      </c>
      <c r="AV14" s="55">
        <v>88031.64</v>
      </c>
      <c r="AW14" s="56">
        <v>2077560000</v>
      </c>
      <c r="AX14" s="55">
        <v>4900.57</v>
      </c>
      <c r="AY14" s="91">
        <f t="shared" si="51"/>
        <v>2098.3356000000003</v>
      </c>
      <c r="AZ14" s="91">
        <f t="shared" si="52"/>
        <v>403.75404685920716</v>
      </c>
      <c r="BA14" s="91">
        <f t="shared" si="53"/>
        <v>2.5020896468592071E-9</v>
      </c>
      <c r="BB14" s="91">
        <f t="shared" si="54"/>
        <v>1.1758138441669532E-9</v>
      </c>
      <c r="BE14" s="55" t="s">
        <v>42</v>
      </c>
      <c r="BG14" s="55" t="s">
        <v>1</v>
      </c>
      <c r="BH14" s="16">
        <f>BH13-(AV20+AK13)</f>
        <v>1323496.0400000012</v>
      </c>
      <c r="BI14" s="56">
        <f>BI13-(AW20+AL13)</f>
        <v>23335498737.869999</v>
      </c>
      <c r="BJ14" s="2">
        <v>38.352499999999999</v>
      </c>
      <c r="BK14" s="91">
        <f t="shared" ref="BK14:BK16" si="63">BI14*BG$38</f>
        <v>23568.8537252487</v>
      </c>
      <c r="BL14" s="91">
        <f t="shared" ref="BL14:BL16" si="64">BI14*BJ14*BG$37</f>
        <v>35.491755585082259</v>
      </c>
      <c r="BM14" s="91">
        <f t="shared" ref="BM14:BM16" si="65">SUM(BK14:BL14)*0.000000000001</f>
        <v>2.3604345480833782E-8</v>
      </c>
      <c r="BN14" s="91">
        <f t="shared" ref="BN14:BN16" si="66">BI14*BG$39*0.000000000001</f>
        <v>2.9535310495504959E-8</v>
      </c>
      <c r="BO14" s="56">
        <f>BN14-BM14</f>
        <v>5.9309650146711772E-9</v>
      </c>
      <c r="BP14" s="10"/>
      <c r="BR14" s="55" t="s">
        <v>4</v>
      </c>
      <c r="BS14" s="5">
        <f>243422.45</f>
        <v>243422.45</v>
      </c>
      <c r="BT14" s="14">
        <v>5566560000</v>
      </c>
      <c r="BU14" s="55">
        <v>1519.17</v>
      </c>
      <c r="BV14" s="91">
        <f>BT14*BR$36</f>
        <v>5622.2256000000007</v>
      </c>
      <c r="BW14" s="91">
        <f>BT14*BU14*BR$35</f>
        <v>335.35901567826471</v>
      </c>
      <c r="BX14" s="91">
        <f>SUM(BV14:BW14)*0.000000000001</f>
        <v>5.9575846156782649E-9</v>
      </c>
      <c r="BY14" s="91">
        <f>BT14*BR$37*0.000000000001</f>
        <v>1.5094196372845996E-8</v>
      </c>
      <c r="BZ14" s="56"/>
      <c r="CA14" s="56"/>
      <c r="CC14" s="55" t="s">
        <v>16</v>
      </c>
      <c r="CD14" s="55">
        <v>88031.64</v>
      </c>
      <c r="CE14" s="56">
        <v>2077560000</v>
      </c>
      <c r="CF14" s="55">
        <v>4900.57</v>
      </c>
      <c r="CG14" s="91">
        <f t="shared" si="55"/>
        <v>2098.3356000000003</v>
      </c>
      <c r="CH14" s="91">
        <f t="shared" si="56"/>
        <v>403.75404685920716</v>
      </c>
      <c r="CI14" s="91">
        <f t="shared" si="57"/>
        <v>2.5020896468592071E-9</v>
      </c>
      <c r="CJ14" s="91">
        <f t="shared" si="58"/>
        <v>1.088157503496908E-8</v>
      </c>
      <c r="CM14" s="55" t="s">
        <v>42</v>
      </c>
      <c r="CO14" s="55" t="s">
        <v>1</v>
      </c>
      <c r="CP14" s="16">
        <f>CP13-(CD20+BS13)</f>
        <v>1323496.0400000012</v>
      </c>
      <c r="CQ14" s="56">
        <f>CQ13-(CE20+BT13)</f>
        <v>23335498737.869999</v>
      </c>
      <c r="CR14" s="2">
        <v>38.352499999999999</v>
      </c>
      <c r="CS14" s="91">
        <f t="shared" ref="CS14:CS16" si="67">CQ14*CO$38</f>
        <v>23568.8537252487</v>
      </c>
      <c r="CT14" s="91">
        <f t="shared" ref="CT14:CT16" si="68">CQ14*CR14*CO$37</f>
        <v>35.491755585082259</v>
      </c>
      <c r="CU14" s="91">
        <f t="shared" ref="CU14:CU16" si="69">SUM(CS14:CT14)*0.000000000001</f>
        <v>2.3604345480833782E-8</v>
      </c>
      <c r="CV14" s="91">
        <f t="shared" ref="CV14:CV16" si="70">CQ14*CO$39*0.000000000001</f>
        <v>1.9980705783949396E-7</v>
      </c>
      <c r="CW14" s="56">
        <f>CV14-CU14</f>
        <v>1.7620271235866019E-7</v>
      </c>
    </row>
    <row r="15" spans="1:101" ht="15" thickBot="1" x14ac:dyDescent="0.4">
      <c r="B15" s="55" t="s">
        <v>5</v>
      </c>
      <c r="C15" s="55">
        <f>4945.33</f>
        <v>4945.33</v>
      </c>
      <c r="D15" s="14">
        <v>15036000</v>
      </c>
      <c r="E15" s="2">
        <v>5203.3100000000004</v>
      </c>
      <c r="F15" s="56">
        <f>D15*$B$36</f>
        <v>15.186360000000001</v>
      </c>
      <c r="G15" s="56">
        <f>D15*E15*$B$35</f>
        <v>3.1026210456421035</v>
      </c>
      <c r="H15" s="56">
        <f>SUM(F15:G15)*0.000000000001</f>
        <v>1.8288981045642103E-11</v>
      </c>
      <c r="I15" s="56">
        <f>D15*$B$37*0.000000000001</f>
        <v>1.4536703293016242E-11</v>
      </c>
      <c r="J15" s="56"/>
      <c r="K15" s="56"/>
      <c r="M15" s="55" t="s">
        <v>18</v>
      </c>
      <c r="N15" s="55">
        <v>77439.100000000006</v>
      </c>
      <c r="O15" s="56">
        <v>2009740000</v>
      </c>
      <c r="P15" s="55">
        <v>4511.93</v>
      </c>
      <c r="Q15" s="56">
        <f t="shared" si="59"/>
        <v>2029.8374000000001</v>
      </c>
      <c r="R15" s="56">
        <f t="shared" si="60"/>
        <v>359.5993895264952</v>
      </c>
      <c r="S15" s="56">
        <f t="shared" si="61"/>
        <v>2.3894367895264953E-9</v>
      </c>
      <c r="T15" s="56">
        <f t="shared" si="62"/>
        <v>3.1714842077521009E-9</v>
      </c>
      <c r="W15" s="55" t="s">
        <v>47</v>
      </c>
      <c r="Y15" s="55" t="s">
        <v>1</v>
      </c>
      <c r="Z15" s="6">
        <v>1323496.0400000012</v>
      </c>
      <c r="AA15" s="13">
        <v>23335498737.869999</v>
      </c>
      <c r="AB15" s="2">
        <v>3240</v>
      </c>
      <c r="AC15" s="56">
        <f t="shared" ref="AC15:AC16" si="71">AA15*$Y$38</f>
        <v>23568.8537252487</v>
      </c>
      <c r="AD15" s="56">
        <f t="shared" ref="AD15:AD16" si="72">AA15*AB15*$Y$37</f>
        <v>2998.3257439714894</v>
      </c>
      <c r="AE15" s="56">
        <f t="shared" ref="AE15:AE16" si="73">SUM(AC15:AD15)*0.000000000001</f>
        <v>2.6567179469220191E-8</v>
      </c>
      <c r="AF15" s="56">
        <f t="shared" ref="AF15:AF16" si="74">AA15*$Y$39*0.000000000001</f>
        <v>7.2734908869009581E-8</v>
      </c>
      <c r="AG15" s="56">
        <f t="shared" ref="AG15:AG16" si="75">AF15-AE15</f>
        <v>4.616772939978939E-8</v>
      </c>
      <c r="AH15" s="10"/>
      <c r="AJ15" s="55" t="s">
        <v>5</v>
      </c>
      <c r="AK15" s="55">
        <f>4945.33</f>
        <v>4945.33</v>
      </c>
      <c r="AL15" s="14">
        <v>15036000</v>
      </c>
      <c r="AM15" s="2">
        <v>5203.3100000000004</v>
      </c>
      <c r="AN15" s="91">
        <f>AL15*AJ$36</f>
        <v>15.186360000000001</v>
      </c>
      <c r="AO15" s="91">
        <f>AL15*AM15*AJ$35</f>
        <v>3.1026210456421035</v>
      </c>
      <c r="AP15" s="91">
        <f>SUM(AN15:AO15)*0.000000000001</f>
        <v>1.8288981045642103E-11</v>
      </c>
      <c r="AQ15" s="91">
        <f>AL15*AJ$37*0.000000000001</f>
        <v>6.2055143418731467E-12</v>
      </c>
      <c r="AR15" s="56"/>
      <c r="AS15" s="56"/>
      <c r="AU15" s="55" t="s">
        <v>18</v>
      </c>
      <c r="AV15" s="55">
        <v>77439.100000000006</v>
      </c>
      <c r="AW15" s="56">
        <v>2009740000</v>
      </c>
      <c r="AX15" s="55">
        <v>4511.93</v>
      </c>
      <c r="AY15" s="91">
        <f t="shared" si="51"/>
        <v>2029.8374000000001</v>
      </c>
      <c r="AZ15" s="91">
        <f t="shared" si="52"/>
        <v>359.5993895264952</v>
      </c>
      <c r="BA15" s="91">
        <f t="shared" si="53"/>
        <v>2.3894367895264953E-9</v>
      </c>
      <c r="BB15" s="91">
        <f t="shared" si="54"/>
        <v>1.1374305026935888E-9</v>
      </c>
      <c r="BE15" s="55" t="s">
        <v>47</v>
      </c>
      <c r="BG15" s="55" t="s">
        <v>1</v>
      </c>
      <c r="BH15" s="6">
        <v>1323496.0400000012</v>
      </c>
      <c r="BI15" s="13">
        <v>23335498737.869999</v>
      </c>
      <c r="BJ15" s="2">
        <v>3240</v>
      </c>
      <c r="BK15" s="91">
        <f t="shared" si="63"/>
        <v>23568.8537252487</v>
      </c>
      <c r="BL15" s="91">
        <f t="shared" si="64"/>
        <v>2998.3257439714894</v>
      </c>
      <c r="BM15" s="91">
        <f t="shared" si="65"/>
        <v>2.6567179469220191E-8</v>
      </c>
      <c r="BN15" s="91">
        <f t="shared" si="66"/>
        <v>2.9535310495504959E-8</v>
      </c>
      <c r="BO15" s="56">
        <f t="shared" ref="BO15:BO16" si="76">BN15-BM15</f>
        <v>2.9681310262847683E-9</v>
      </c>
      <c r="BP15" s="10"/>
      <c r="BR15" s="55" t="s">
        <v>5</v>
      </c>
      <c r="BS15" s="55">
        <f>4945.33</f>
        <v>4945.33</v>
      </c>
      <c r="BT15" s="14">
        <v>15036000</v>
      </c>
      <c r="BU15" s="2">
        <v>5203.3100000000004</v>
      </c>
      <c r="BV15" s="91">
        <f>BT15*BR$36</f>
        <v>15.186360000000001</v>
      </c>
      <c r="BW15" s="91">
        <f>BT15*BU15*BR$35</f>
        <v>3.1026210456421035</v>
      </c>
      <c r="BX15" s="91">
        <f>SUM(BV15:BW15)*0.000000000001</f>
        <v>1.8288981045642103E-11</v>
      </c>
      <c r="BY15" s="91">
        <f>BT15*BR$37*0.000000000001</f>
        <v>4.0771380648391895E-11</v>
      </c>
      <c r="BZ15" s="56"/>
      <c r="CA15" s="56"/>
      <c r="CC15" s="55" t="s">
        <v>18</v>
      </c>
      <c r="CD15" s="55">
        <v>77439.100000000006</v>
      </c>
      <c r="CE15" s="56">
        <v>2009740000</v>
      </c>
      <c r="CF15" s="55">
        <v>4511.93</v>
      </c>
      <c r="CG15" s="91">
        <f t="shared" si="55"/>
        <v>2029.8374000000001</v>
      </c>
      <c r="CH15" s="91">
        <f t="shared" si="56"/>
        <v>359.5993895264952</v>
      </c>
      <c r="CI15" s="91">
        <f t="shared" si="57"/>
        <v>2.3894367895264953E-9</v>
      </c>
      <c r="CJ15" s="91">
        <f t="shared" si="58"/>
        <v>1.0526356211507132E-8</v>
      </c>
      <c r="CM15" s="55" t="s">
        <v>47</v>
      </c>
      <c r="CO15" s="55" t="s">
        <v>1</v>
      </c>
      <c r="CP15" s="6">
        <v>1323496.0400000012</v>
      </c>
      <c r="CQ15" s="13">
        <v>23335498737.869999</v>
      </c>
      <c r="CR15" s="2">
        <v>3240</v>
      </c>
      <c r="CS15" s="91">
        <f t="shared" si="67"/>
        <v>23568.8537252487</v>
      </c>
      <c r="CT15" s="91">
        <f t="shared" si="68"/>
        <v>2998.3257439714894</v>
      </c>
      <c r="CU15" s="91">
        <f t="shared" si="69"/>
        <v>2.6567179469220191E-8</v>
      </c>
      <c r="CV15" s="91">
        <f t="shared" si="70"/>
        <v>1.9980705783949396E-7</v>
      </c>
      <c r="CW15" s="56">
        <f t="shared" ref="CW15:CW16" si="77">CV15-CU15</f>
        <v>1.7323987837027377E-7</v>
      </c>
    </row>
    <row r="16" spans="1:101" ht="15" thickBot="1" x14ac:dyDescent="0.4">
      <c r="B16" s="1" t="s">
        <v>27</v>
      </c>
      <c r="D16" s="56"/>
      <c r="F16" s="56">
        <f t="shared" ref="F16:G16" si="78">SUM(F14:F15)</f>
        <v>5637.4119600000004</v>
      </c>
      <c r="G16" s="56">
        <f t="shared" si="78"/>
        <v>338.46163672390679</v>
      </c>
      <c r="H16" s="56">
        <f>SUM(H14:H15)</f>
        <v>5.9758735967239068E-9</v>
      </c>
      <c r="I16" s="56">
        <f>SUM(I14:I15)</f>
        <v>5.3962493318360129E-9</v>
      </c>
      <c r="J16" s="56">
        <f>I16-H16</f>
        <v>-5.7962426488789385E-10</v>
      </c>
      <c r="K16" s="56"/>
      <c r="M16" s="55" t="s">
        <v>19</v>
      </c>
      <c r="N16" s="55">
        <v>12231.81</v>
      </c>
      <c r="O16" s="56">
        <v>345305000</v>
      </c>
      <c r="P16" s="55">
        <v>13389.8</v>
      </c>
      <c r="Q16" s="56">
        <f t="shared" si="59"/>
        <v>348.75805000000003</v>
      </c>
      <c r="R16" s="56">
        <f t="shared" si="60"/>
        <v>183.35538664804915</v>
      </c>
      <c r="S16" s="56">
        <f t="shared" si="61"/>
        <v>5.3211343664804915E-10</v>
      </c>
      <c r="T16" s="56">
        <f t="shared" si="62"/>
        <v>5.4491096079982448E-10</v>
      </c>
      <c r="W16" s="55" t="s">
        <v>43</v>
      </c>
      <c r="Y16" s="55" t="s">
        <v>1</v>
      </c>
      <c r="Z16" s="55">
        <v>1323496.0400000012</v>
      </c>
      <c r="AA16" s="55">
        <v>23335498737.869999</v>
      </c>
      <c r="AB16" s="55">
        <v>19095.3</v>
      </c>
      <c r="AC16" s="56">
        <f t="shared" si="71"/>
        <v>23568.8537252487</v>
      </c>
      <c r="AD16" s="56">
        <f t="shared" si="72"/>
        <v>17670.965919400856</v>
      </c>
      <c r="AE16" s="56">
        <f t="shared" si="73"/>
        <v>4.1239819644649555E-8</v>
      </c>
      <c r="AF16" s="56">
        <f t="shared" si="74"/>
        <v>7.2734908869009581E-8</v>
      </c>
      <c r="AG16" s="56">
        <f t="shared" si="75"/>
        <v>3.1495089224360026E-8</v>
      </c>
      <c r="AH16" s="10"/>
      <c r="AJ16" s="1" t="s">
        <v>27</v>
      </c>
      <c r="AL16" s="56"/>
      <c r="AN16" s="56">
        <f t="shared" ref="AN16:AO16" si="79">SUM(AN14:AN15)</f>
        <v>5637.4119600000004</v>
      </c>
      <c r="AO16" s="56">
        <f t="shared" si="79"/>
        <v>338.46163672390679</v>
      </c>
      <c r="AP16" s="56">
        <f>SUM(AP14:AP15)</f>
        <v>5.9758735967239068E-9</v>
      </c>
      <c r="AQ16" s="56">
        <f>SUM(AQ14:AQ15)</f>
        <v>2.3035830026963149E-9</v>
      </c>
      <c r="AR16" s="56">
        <f>AQ16-AP16</f>
        <v>-3.6722905940275919E-9</v>
      </c>
      <c r="AS16" s="56"/>
      <c r="AU16" s="55" t="s">
        <v>19</v>
      </c>
      <c r="AV16" s="55">
        <v>12231.81</v>
      </c>
      <c r="AW16" s="56">
        <v>345305000</v>
      </c>
      <c r="AX16" s="55">
        <v>13389.8</v>
      </c>
      <c r="AY16" s="91">
        <f t="shared" si="51"/>
        <v>348.75805000000003</v>
      </c>
      <c r="AZ16" s="91">
        <f t="shared" si="52"/>
        <v>183.35538664804915</v>
      </c>
      <c r="BA16" s="91">
        <f t="shared" si="53"/>
        <v>5.3211343664804915E-10</v>
      </c>
      <c r="BB16" s="91">
        <f t="shared" si="54"/>
        <v>1.9542848315334802E-10</v>
      </c>
      <c r="BE16" s="55" t="s">
        <v>43</v>
      </c>
      <c r="BG16" s="55" t="s">
        <v>1</v>
      </c>
      <c r="BH16" s="55">
        <v>1323496.0400000012</v>
      </c>
      <c r="BI16" s="55">
        <v>23335498737.869999</v>
      </c>
      <c r="BJ16" s="55">
        <v>19095.3</v>
      </c>
      <c r="BK16" s="91">
        <f t="shared" si="63"/>
        <v>23568.8537252487</v>
      </c>
      <c r="BL16" s="91">
        <f t="shared" si="64"/>
        <v>17670.965919400856</v>
      </c>
      <c r="BM16" s="91">
        <f t="shared" si="65"/>
        <v>4.1239819644649555E-8</v>
      </c>
      <c r="BN16" s="91">
        <f t="shared" si="66"/>
        <v>2.9535310495504959E-8</v>
      </c>
      <c r="BO16" s="56">
        <f t="shared" si="76"/>
        <v>-1.1704509149144595E-8</v>
      </c>
      <c r="BP16" s="10"/>
      <c r="BR16" s="1" t="s">
        <v>27</v>
      </c>
      <c r="BT16" s="56"/>
      <c r="BV16" s="56">
        <f t="shared" ref="BV16:BW16" si="80">SUM(BV14:BV15)</f>
        <v>5637.4119600000004</v>
      </c>
      <c r="BW16" s="56">
        <f t="shared" si="80"/>
        <v>338.46163672390679</v>
      </c>
      <c r="BX16" s="56">
        <f>SUM(BX14:BX15)</f>
        <v>5.9758735967239068E-9</v>
      </c>
      <c r="BY16" s="56">
        <f>SUM(BY14:BY15)</f>
        <v>1.5134967753494386E-8</v>
      </c>
      <c r="BZ16" s="56">
        <f>BY16-BX16</f>
        <v>9.1590941567704788E-9</v>
      </c>
      <c r="CA16" s="56"/>
      <c r="CC16" s="55" t="s">
        <v>19</v>
      </c>
      <c r="CD16" s="55">
        <v>12231.81</v>
      </c>
      <c r="CE16" s="56">
        <v>345305000</v>
      </c>
      <c r="CF16" s="55">
        <v>13389.8</v>
      </c>
      <c r="CG16" s="91">
        <f t="shared" si="55"/>
        <v>348.75805000000003</v>
      </c>
      <c r="CH16" s="91">
        <f t="shared" si="56"/>
        <v>183.35538664804915</v>
      </c>
      <c r="CI16" s="91">
        <f t="shared" si="57"/>
        <v>5.3211343664804915E-10</v>
      </c>
      <c r="CJ16" s="91">
        <f t="shared" si="58"/>
        <v>1.8085938636910597E-9</v>
      </c>
      <c r="CM16" s="55" t="s">
        <v>43</v>
      </c>
      <c r="CO16" s="55" t="s">
        <v>1</v>
      </c>
      <c r="CP16" s="55">
        <v>1323496.0400000012</v>
      </c>
      <c r="CQ16" s="55">
        <v>23335498737.869999</v>
      </c>
      <c r="CR16" s="55">
        <v>19095.3</v>
      </c>
      <c r="CS16" s="91">
        <f t="shared" si="67"/>
        <v>23568.8537252487</v>
      </c>
      <c r="CT16" s="91">
        <f t="shared" si="68"/>
        <v>17670.965919400856</v>
      </c>
      <c r="CU16" s="91">
        <f t="shared" si="69"/>
        <v>4.1239819644649555E-8</v>
      </c>
      <c r="CV16" s="91">
        <f t="shared" si="70"/>
        <v>1.9980705783949396E-7</v>
      </c>
      <c r="CW16" s="56">
        <f t="shared" si="77"/>
        <v>1.585672381948444E-7</v>
      </c>
    </row>
    <row r="17" spans="1:101" ht="15" thickBot="1" x14ac:dyDescent="0.4">
      <c r="A17" s="55">
        <v>2021</v>
      </c>
      <c r="B17" s="55" t="s">
        <v>3</v>
      </c>
      <c r="C17" s="55">
        <f>226272.11</f>
        <v>226272.11</v>
      </c>
      <c r="D17" s="15">
        <v>5128620000</v>
      </c>
      <c r="E17" s="7"/>
      <c r="M17" s="55" t="s">
        <v>20</v>
      </c>
      <c r="N17" s="55">
        <v>7112.1</v>
      </c>
      <c r="O17" s="56">
        <v>192285000</v>
      </c>
      <c r="P17" s="55">
        <v>13090.6</v>
      </c>
      <c r="Q17" s="56">
        <f t="shared" si="59"/>
        <v>194.20785000000001</v>
      </c>
      <c r="R17" s="56">
        <f t="shared" si="60"/>
        <v>99.820944639568239</v>
      </c>
      <c r="S17" s="56">
        <f t="shared" si="61"/>
        <v>2.9402879463956822E-10</v>
      </c>
      <c r="T17" s="56">
        <f t="shared" si="62"/>
        <v>3.0343668379373095E-10</v>
      </c>
      <c r="X17" s="55">
        <v>2021</v>
      </c>
      <c r="Y17" s="55" t="s">
        <v>24</v>
      </c>
      <c r="Z17" s="55">
        <v>1633248.1799999992</v>
      </c>
      <c r="AA17" s="56">
        <v>36303333793.879997</v>
      </c>
      <c r="AI17" s="55">
        <v>2021</v>
      </c>
      <c r="AJ17" s="55" t="s">
        <v>3</v>
      </c>
      <c r="AK17" s="55">
        <f>226272.11</f>
        <v>226272.11</v>
      </c>
      <c r="AL17" s="15">
        <v>5128620000</v>
      </c>
      <c r="AM17" s="7"/>
      <c r="AU17" s="55" t="s">
        <v>20</v>
      </c>
      <c r="AV17" s="55">
        <v>7112.1</v>
      </c>
      <c r="AW17" s="56">
        <v>192285000</v>
      </c>
      <c r="AX17" s="55">
        <v>13090.6</v>
      </c>
      <c r="AY17" s="91">
        <f t="shared" si="51"/>
        <v>194.20785000000001</v>
      </c>
      <c r="AZ17" s="91">
        <f t="shared" si="52"/>
        <v>99.820944639568239</v>
      </c>
      <c r="BA17" s="91">
        <f t="shared" si="53"/>
        <v>2.9402879463956822E-10</v>
      </c>
      <c r="BB17" s="91">
        <f t="shared" si="54"/>
        <v>1.0882543225016007E-10</v>
      </c>
      <c r="BF17" s="55">
        <v>2021</v>
      </c>
      <c r="BG17" s="55" t="s">
        <v>24</v>
      </c>
      <c r="BH17" s="55">
        <v>1633248.1799999992</v>
      </c>
      <c r="BI17" s="56">
        <v>36303333793.879997</v>
      </c>
      <c r="BQ17" s="55">
        <v>2021</v>
      </c>
      <c r="BR17" s="55" t="s">
        <v>3</v>
      </c>
      <c r="BS17" s="55">
        <f>226272.11</f>
        <v>226272.11</v>
      </c>
      <c r="BT17" s="15">
        <v>5128620000</v>
      </c>
      <c r="BU17" s="7"/>
      <c r="CC17" s="55" t="s">
        <v>20</v>
      </c>
      <c r="CD17" s="55">
        <v>7112.1</v>
      </c>
      <c r="CE17" s="56">
        <v>192285000</v>
      </c>
      <c r="CF17" s="55">
        <v>13090.6</v>
      </c>
      <c r="CG17" s="91">
        <f t="shared" si="55"/>
        <v>194.20785000000001</v>
      </c>
      <c r="CH17" s="91">
        <f t="shared" si="56"/>
        <v>99.820944639568239</v>
      </c>
      <c r="CI17" s="91">
        <f t="shared" si="57"/>
        <v>2.9402879463956822E-10</v>
      </c>
      <c r="CJ17" s="91">
        <f t="shared" si="58"/>
        <v>1.0071255008755606E-9</v>
      </c>
      <c r="CN17" s="55">
        <v>2021</v>
      </c>
      <c r="CO17" s="55" t="s">
        <v>24</v>
      </c>
      <c r="CP17" s="55">
        <v>1633248.1799999992</v>
      </c>
      <c r="CQ17" s="56">
        <v>36303333793.879997</v>
      </c>
    </row>
    <row r="18" spans="1:101" ht="15" thickBot="1" x14ac:dyDescent="0.4">
      <c r="B18" s="55" t="s">
        <v>4</v>
      </c>
      <c r="C18" s="55">
        <f>218613.3</f>
        <v>218613.3</v>
      </c>
      <c r="D18" s="13">
        <v>5104520000</v>
      </c>
      <c r="E18" s="55">
        <v>1519.17</v>
      </c>
      <c r="F18" s="56">
        <f>D18*$B$36</f>
        <v>5155.5652</v>
      </c>
      <c r="G18" s="56">
        <f>D18*E18*$B$35</f>
        <v>307.52328237008419</v>
      </c>
      <c r="H18" s="56">
        <f>SUM(F18:G18)*0.000000000001</f>
        <v>5.4630884823700845E-9</v>
      </c>
      <c r="I18" s="56">
        <f>D18*$B$37*0.000000000001</f>
        <v>4.9350154757427027E-9</v>
      </c>
      <c r="J18" s="56"/>
      <c r="K18" s="56"/>
      <c r="M18" s="55" t="s">
        <v>21</v>
      </c>
      <c r="N18" s="55">
        <v>3612.73</v>
      </c>
      <c r="O18" s="56">
        <v>65024000</v>
      </c>
      <c r="P18" s="55">
        <v>2839.27</v>
      </c>
      <c r="Q18" s="56">
        <f t="shared" si="59"/>
        <v>65.674239999999998</v>
      </c>
      <c r="R18" s="56">
        <f t="shared" si="60"/>
        <v>7.3214498478083279</v>
      </c>
      <c r="S18" s="56">
        <f t="shared" si="61"/>
        <v>7.2995689847808319E-11</v>
      </c>
      <c r="T18" s="56">
        <f t="shared" si="62"/>
        <v>1.026115761864085E-10</v>
      </c>
      <c r="W18" s="55" t="s">
        <v>42</v>
      </c>
      <c r="Y18" s="55" t="s">
        <v>1</v>
      </c>
      <c r="Z18" s="55">
        <f>Z17-(N27+C17)</f>
        <v>1236115.5799999991</v>
      </c>
      <c r="AA18" s="56">
        <f>AA17-(O27+D17)</f>
        <v>27719993793.879997</v>
      </c>
      <c r="AB18" s="2">
        <v>38.352499999999999</v>
      </c>
      <c r="AC18" s="56">
        <f>AA18*$Y$38</f>
        <v>27997.193731818799</v>
      </c>
      <c r="AD18" s="56">
        <f>AA18*AB18*$Y$37</f>
        <v>42.160283592129801</v>
      </c>
      <c r="AE18" s="56">
        <f>SUM(AC18:AD18)*0.000000000001</f>
        <v>2.8039354015410928E-8</v>
      </c>
      <c r="AF18" s="56">
        <f>AA18*$Y$39*0.000000000001</f>
        <v>8.6401034110977249E-8</v>
      </c>
      <c r="AG18" s="56">
        <f>AF18-AE18</f>
        <v>5.8361680095566321E-8</v>
      </c>
      <c r="AH18" s="10"/>
      <c r="AJ18" s="55" t="s">
        <v>4</v>
      </c>
      <c r="AK18" s="55">
        <f>218613.3</f>
        <v>218613.3</v>
      </c>
      <c r="AL18" s="13">
        <v>5104520000</v>
      </c>
      <c r="AM18" s="55">
        <v>1519.17</v>
      </c>
      <c r="AN18" s="91">
        <f>AL18*AJ$36</f>
        <v>5155.5652</v>
      </c>
      <c r="AO18" s="91">
        <f>AL18*AM18*AJ$35</f>
        <v>307.52328237008419</v>
      </c>
      <c r="AP18" s="91">
        <f>SUM(AN18:AO18)*0.000000000001</f>
        <v>5.4630884823700845E-9</v>
      </c>
      <c r="AQ18" s="91">
        <f>AL18*AJ$37*0.000000000001</f>
        <v>2.1066887515548228E-9</v>
      </c>
      <c r="AR18" s="56"/>
      <c r="AS18" s="56"/>
      <c r="AU18" s="55" t="s">
        <v>21</v>
      </c>
      <c r="AV18" s="55">
        <v>3612.73</v>
      </c>
      <c r="AW18" s="56">
        <v>65024000</v>
      </c>
      <c r="AX18" s="55">
        <v>2839.27</v>
      </c>
      <c r="AY18" s="91">
        <f t="shared" si="51"/>
        <v>65.674239999999998</v>
      </c>
      <c r="AZ18" s="91">
        <f t="shared" si="52"/>
        <v>7.3214498478083279</v>
      </c>
      <c r="BA18" s="91">
        <f t="shared" si="53"/>
        <v>7.2995689847808319E-11</v>
      </c>
      <c r="BB18" s="91">
        <f t="shared" si="54"/>
        <v>3.6800920023061646E-11</v>
      </c>
      <c r="BE18" s="55" t="s">
        <v>42</v>
      </c>
      <c r="BG18" s="55" t="s">
        <v>1</v>
      </c>
      <c r="BH18" s="55">
        <f>BH17-(AV27+AK17)</f>
        <v>1236115.5799999991</v>
      </c>
      <c r="BI18" s="56">
        <f>BI17-(AW27+AL17)</f>
        <v>27719993793.879997</v>
      </c>
      <c r="BJ18" s="2">
        <v>38.352499999999999</v>
      </c>
      <c r="BK18" s="91">
        <f t="shared" ref="BK18:BK20" si="81">BI18*BG$38</f>
        <v>27997.193731818799</v>
      </c>
      <c r="BL18" s="91">
        <f t="shared" ref="BL18:BL20" si="82">BI18*BJ18*BG$37</f>
        <v>42.160283592129801</v>
      </c>
      <c r="BM18" s="91">
        <f t="shared" ref="BM18:BM20" si="83">SUM(BK18:BL18)*0.000000000001</f>
        <v>2.8039354015410928E-8</v>
      </c>
      <c r="BN18" s="91">
        <f t="shared" ref="BN18:BN20" si="84">BI18*BG$39*0.000000000001</f>
        <v>3.5084685047123469E-8</v>
      </c>
      <c r="BO18" s="56">
        <f>BN18-BM18</f>
        <v>7.0453310317125405E-9</v>
      </c>
      <c r="BP18" s="10"/>
      <c r="BR18" s="55" t="s">
        <v>4</v>
      </c>
      <c r="BS18" s="55">
        <f>218613.3</f>
        <v>218613.3</v>
      </c>
      <c r="BT18" s="13">
        <v>5104520000</v>
      </c>
      <c r="BU18" s="55">
        <v>1519.17</v>
      </c>
      <c r="BV18" s="91">
        <f>BT18*BR$36</f>
        <v>5155.5652</v>
      </c>
      <c r="BW18" s="91">
        <f>BT18*BU18*BR$35</f>
        <v>307.52328237008419</v>
      </c>
      <c r="BX18" s="91">
        <f>SUM(BV18:BW18)*0.000000000001</f>
        <v>5.4630884823700845E-9</v>
      </c>
      <c r="BY18" s="91">
        <f>BT18*BR$37*0.000000000001</f>
        <v>1.3841335990112357E-8</v>
      </c>
      <c r="BZ18" s="56"/>
      <c r="CA18" s="56"/>
      <c r="CC18" s="55" t="s">
        <v>21</v>
      </c>
      <c r="CD18" s="55">
        <v>3612.73</v>
      </c>
      <c r="CE18" s="56">
        <v>65024000</v>
      </c>
      <c r="CF18" s="55">
        <v>2839.27</v>
      </c>
      <c r="CG18" s="91">
        <f t="shared" si="55"/>
        <v>65.674239999999998</v>
      </c>
      <c r="CH18" s="91">
        <f t="shared" si="56"/>
        <v>7.3214498478083279</v>
      </c>
      <c r="CI18" s="91">
        <f t="shared" si="57"/>
        <v>7.2995689847808319E-11</v>
      </c>
      <c r="CJ18" s="91">
        <f t="shared" si="58"/>
        <v>3.4057429632541517E-10</v>
      </c>
      <c r="CM18" s="55" t="s">
        <v>42</v>
      </c>
      <c r="CO18" s="55" t="s">
        <v>1</v>
      </c>
      <c r="CP18" s="55">
        <f>CP17-(CD27+BS17)</f>
        <v>1236115.5799999991</v>
      </c>
      <c r="CQ18" s="56">
        <f>CQ17-(CE27+BT17)</f>
        <v>27719993793.879997</v>
      </c>
      <c r="CR18" s="2">
        <v>38.352499999999999</v>
      </c>
      <c r="CS18" s="91">
        <f t="shared" ref="CS18:CS20" si="85">CQ18*CO$38</f>
        <v>27997.193731818799</v>
      </c>
      <c r="CT18" s="91">
        <f t="shared" ref="CT18:CT20" si="86">CQ18*CR18*CO$37</f>
        <v>42.160283592129801</v>
      </c>
      <c r="CU18" s="91">
        <f t="shared" ref="CU18:CU20" si="87">SUM(CS18:CT18)*0.000000000001</f>
        <v>2.8039354015410928E-8</v>
      </c>
      <c r="CV18" s="91">
        <f t="shared" ref="CV18:CV20" si="88">CQ18*CO$39*0.000000000001</f>
        <v>2.3734870488522275E-7</v>
      </c>
      <c r="CW18" s="56">
        <f>CV18-CU18</f>
        <v>2.0930935086981182E-7</v>
      </c>
    </row>
    <row r="19" spans="1:101" ht="15" thickBot="1" x14ac:dyDescent="0.4">
      <c r="B19" s="55" t="s">
        <v>5</v>
      </c>
      <c r="C19" s="55">
        <f>5266.43</f>
        <v>5266.43</v>
      </c>
      <c r="D19" s="15">
        <v>11223000</v>
      </c>
      <c r="E19" s="2">
        <v>5203.3100000000004</v>
      </c>
      <c r="F19" s="56">
        <f>D19*$B$36</f>
        <v>11.335230000000001</v>
      </c>
      <c r="G19" s="56">
        <f>D19*E19*$B$35</f>
        <v>2.3158230909311874</v>
      </c>
      <c r="H19" s="56">
        <f>SUM(F19:G19)*0.000000000001</f>
        <v>1.3651053090931189E-11</v>
      </c>
      <c r="I19" s="56">
        <f>D19*$B$37*0.000000000001</f>
        <v>1.0850320634312403E-11</v>
      </c>
      <c r="J19" s="56"/>
      <c r="K19" s="56"/>
      <c r="M19" s="1" t="s">
        <v>27</v>
      </c>
      <c r="Q19" s="56">
        <f>SUM(Q13:Q18)</f>
        <v>6514.423240000001</v>
      </c>
      <c r="R19" s="56">
        <f t="shared" ref="R19:T19" si="89">SUM(R13:R18)</f>
        <v>1753.5512607412386</v>
      </c>
      <c r="S19" s="56">
        <f t="shared" si="89"/>
        <v>8.2679745007412383E-9</v>
      </c>
      <c r="T19" s="56">
        <f t="shared" si="89"/>
        <v>1.0178347501269448E-8</v>
      </c>
      <c r="U19" s="56">
        <f>T19-S19</f>
        <v>1.9103730005282094E-9</v>
      </c>
      <c r="V19" s="56"/>
      <c r="W19" s="55" t="s">
        <v>47</v>
      </c>
      <c r="Y19" s="55" t="s">
        <v>1</v>
      </c>
      <c r="Z19" s="55">
        <v>1236115.5799999991</v>
      </c>
      <c r="AA19" s="56">
        <v>27719993793.879997</v>
      </c>
      <c r="AB19" s="2">
        <v>3240</v>
      </c>
      <c r="AC19" s="56">
        <f t="shared" ref="AC19:AC20" si="90">AA19*$Y$38</f>
        <v>27997.193731818799</v>
      </c>
      <c r="AD19" s="56">
        <f t="shared" ref="AD19:AD20" si="91">AA19*AB19*$Y$37</f>
        <v>3561.6796516133377</v>
      </c>
      <c r="AE19" s="56">
        <f t="shared" ref="AE19:AE20" si="92">SUM(AC19:AD19)*0.000000000001</f>
        <v>3.1558873383432136E-8</v>
      </c>
      <c r="AF19" s="56">
        <f t="shared" ref="AF19:AF20" si="93">AA19*$Y$39*0.000000000001</f>
        <v>8.6401034110977249E-8</v>
      </c>
      <c r="AG19" s="56">
        <f t="shared" ref="AG19:AG20" si="94">AF19-AE19</f>
        <v>5.4842160727545113E-8</v>
      </c>
      <c r="AH19" s="10"/>
      <c r="AJ19" s="55" t="s">
        <v>5</v>
      </c>
      <c r="AK19" s="55">
        <f>5266.43</f>
        <v>5266.43</v>
      </c>
      <c r="AL19" s="15">
        <v>11223000</v>
      </c>
      <c r="AM19" s="2">
        <v>5203.3100000000004</v>
      </c>
      <c r="AN19" s="91">
        <f>AL19*AJ$36</f>
        <v>11.335230000000001</v>
      </c>
      <c r="AO19" s="91">
        <f>AL19*AM19*AJ$35</f>
        <v>2.3158230909311874</v>
      </c>
      <c r="AP19" s="91">
        <f>SUM(AN19:AO19)*0.000000000001</f>
        <v>1.3651053090931189E-11</v>
      </c>
      <c r="AQ19" s="91">
        <f>AL19*AJ$37*0.000000000001</f>
        <v>4.631849392048572E-12</v>
      </c>
      <c r="AR19" s="56"/>
      <c r="AS19" s="56"/>
      <c r="AU19" s="1" t="s">
        <v>27</v>
      </c>
      <c r="AY19" s="56">
        <f>SUM(AY13:AY18)</f>
        <v>6514.423240000001</v>
      </c>
      <c r="AZ19" s="56">
        <f t="shared" ref="AZ19:BB19" si="95">SUM(AZ13:AZ18)</f>
        <v>1753.5512607412386</v>
      </c>
      <c r="BA19" s="56">
        <f t="shared" si="95"/>
        <v>8.2679745007412383E-9</v>
      </c>
      <c r="BB19" s="56">
        <f t="shared" si="95"/>
        <v>3.6503927362024155E-9</v>
      </c>
      <c r="BC19" s="56">
        <f>BB19-BA19</f>
        <v>-4.6175817645388228E-9</v>
      </c>
      <c r="BD19" s="56"/>
      <c r="BE19" s="55" t="s">
        <v>47</v>
      </c>
      <c r="BG19" s="55" t="s">
        <v>1</v>
      </c>
      <c r="BH19" s="55">
        <v>1236115.5799999991</v>
      </c>
      <c r="BI19" s="56">
        <v>27719993793.879997</v>
      </c>
      <c r="BJ19" s="2">
        <v>3240</v>
      </c>
      <c r="BK19" s="91">
        <f t="shared" si="81"/>
        <v>27997.193731818799</v>
      </c>
      <c r="BL19" s="91">
        <f t="shared" si="82"/>
        <v>3561.6796516133377</v>
      </c>
      <c r="BM19" s="91">
        <f t="shared" si="83"/>
        <v>3.1558873383432136E-8</v>
      </c>
      <c r="BN19" s="91">
        <f t="shared" si="84"/>
        <v>3.5084685047123469E-8</v>
      </c>
      <c r="BO19" s="56">
        <f t="shared" ref="BO19:BO20" si="96">BN19-BM19</f>
        <v>3.525811663691333E-9</v>
      </c>
      <c r="BP19" s="10"/>
      <c r="BR19" s="55" t="s">
        <v>5</v>
      </c>
      <c r="BS19" s="55">
        <f>5266.43</f>
        <v>5266.43</v>
      </c>
      <c r="BT19" s="15">
        <v>11223000</v>
      </c>
      <c r="BU19" s="2">
        <v>5203.3100000000004</v>
      </c>
      <c r="BV19" s="91">
        <f>BT19*BR$36</f>
        <v>11.335230000000001</v>
      </c>
      <c r="BW19" s="91">
        <f>BT19*BU19*BR$35</f>
        <v>2.3158230909311874</v>
      </c>
      <c r="BX19" s="91">
        <f>SUM(BV19:BW19)*0.000000000001</f>
        <v>1.3651053090931189E-11</v>
      </c>
      <c r="BY19" s="91">
        <f>BT19*BR$37*0.000000000001</f>
        <v>3.0432109937277352E-11</v>
      </c>
      <c r="BZ19" s="56"/>
      <c r="CA19" s="56"/>
      <c r="CC19" s="1" t="s">
        <v>27</v>
      </c>
      <c r="CG19" s="56">
        <f>SUM(CG13:CG18)</f>
        <v>6514.423240000001</v>
      </c>
      <c r="CH19" s="56">
        <f t="shared" ref="CH19:CJ19" si="97">SUM(CH13:CH18)</f>
        <v>1753.5512607412386</v>
      </c>
      <c r="CI19" s="56">
        <f t="shared" si="97"/>
        <v>8.2679745007412383E-9</v>
      </c>
      <c r="CJ19" s="56">
        <f t="shared" si="97"/>
        <v>3.3782577627528409E-8</v>
      </c>
      <c r="CK19" s="56">
        <f>CJ19-CI19</f>
        <v>2.551460312678717E-8</v>
      </c>
      <c r="CL19" s="56"/>
      <c r="CM19" s="55" t="s">
        <v>47</v>
      </c>
      <c r="CO19" s="55" t="s">
        <v>1</v>
      </c>
      <c r="CP19" s="55">
        <v>1236115.5799999991</v>
      </c>
      <c r="CQ19" s="56">
        <v>27719993793.879997</v>
      </c>
      <c r="CR19" s="2">
        <v>3240</v>
      </c>
      <c r="CS19" s="91">
        <f t="shared" si="85"/>
        <v>27997.193731818799</v>
      </c>
      <c r="CT19" s="91">
        <f t="shared" si="86"/>
        <v>3561.6796516133377</v>
      </c>
      <c r="CU19" s="91">
        <f t="shared" si="87"/>
        <v>3.1558873383432136E-8</v>
      </c>
      <c r="CV19" s="91">
        <f t="shared" si="88"/>
        <v>2.3734870488522275E-7</v>
      </c>
      <c r="CW19" s="56">
        <f t="shared" ref="CW19:CW20" si="98">CV19-CU19</f>
        <v>2.0578983150179062E-7</v>
      </c>
    </row>
    <row r="20" spans="1:101" x14ac:dyDescent="0.35">
      <c r="B20" s="1" t="s">
        <v>27</v>
      </c>
      <c r="D20" s="56"/>
      <c r="F20" s="56">
        <f t="shared" ref="F20:G20" si="99">SUM(F18:F19)</f>
        <v>5166.9004299999997</v>
      </c>
      <c r="G20" s="56">
        <f t="shared" si="99"/>
        <v>309.83910546101538</v>
      </c>
      <c r="H20" s="56">
        <f>SUM(H18:H19)</f>
        <v>5.4767395354610158E-9</v>
      </c>
      <c r="I20" s="56">
        <f>SUM(I18:I19)</f>
        <v>4.9458657963770154E-9</v>
      </c>
      <c r="J20" s="56">
        <f>I20-H20</f>
        <v>-5.3087373908400042E-10</v>
      </c>
      <c r="K20" s="56"/>
      <c r="L20" s="55">
        <v>2022</v>
      </c>
      <c r="M20" s="55" t="s">
        <v>22</v>
      </c>
      <c r="N20" s="55">
        <v>208086.27</v>
      </c>
      <c r="O20" s="56">
        <v>3861400000</v>
      </c>
      <c r="W20" s="55" t="s">
        <v>43</v>
      </c>
      <c r="Y20" s="55" t="s">
        <v>1</v>
      </c>
      <c r="Z20" s="55">
        <v>1236115.5799999991</v>
      </c>
      <c r="AA20" s="55">
        <v>27719993793.879997</v>
      </c>
      <c r="AB20" s="55">
        <v>19095.3</v>
      </c>
      <c r="AC20" s="56">
        <f t="shared" si="90"/>
        <v>27997.193731818799</v>
      </c>
      <c r="AD20" s="56">
        <f t="shared" si="91"/>
        <v>20991.15476896672</v>
      </c>
      <c r="AE20" s="56">
        <f t="shared" si="92"/>
        <v>4.8988348500785519E-8</v>
      </c>
      <c r="AF20" s="56">
        <f t="shared" si="93"/>
        <v>8.6401034110977249E-8</v>
      </c>
      <c r="AG20" s="56">
        <f t="shared" si="94"/>
        <v>3.741268561019173E-8</v>
      </c>
      <c r="AH20" s="10"/>
      <c r="AJ20" s="1" t="s">
        <v>27</v>
      </c>
      <c r="AL20" s="56"/>
      <c r="AN20" s="56">
        <f t="shared" ref="AN20:AO20" si="100">SUM(AN18:AN19)</f>
        <v>5166.9004299999997</v>
      </c>
      <c r="AO20" s="56">
        <f t="shared" si="100"/>
        <v>309.83910546101538</v>
      </c>
      <c r="AP20" s="56">
        <f>SUM(AP18:AP19)</f>
        <v>5.4767395354610158E-9</v>
      </c>
      <c r="AQ20" s="56">
        <f>SUM(AQ18:AQ19)</f>
        <v>2.1113206009468715E-9</v>
      </c>
      <c r="AR20" s="56">
        <f>AQ20-AP20</f>
        <v>-3.3654189345141444E-9</v>
      </c>
      <c r="AS20" s="56"/>
      <c r="AT20" s="55">
        <v>2022</v>
      </c>
      <c r="AU20" s="55" t="s">
        <v>22</v>
      </c>
      <c r="AV20" s="55">
        <v>208086.27</v>
      </c>
      <c r="AW20" s="56">
        <v>3861400000</v>
      </c>
      <c r="BE20" s="55" t="s">
        <v>43</v>
      </c>
      <c r="BG20" s="55" t="s">
        <v>1</v>
      </c>
      <c r="BH20" s="55">
        <v>1236115.5799999991</v>
      </c>
      <c r="BI20" s="55">
        <v>27719993793.879997</v>
      </c>
      <c r="BJ20" s="55">
        <v>19095.3</v>
      </c>
      <c r="BK20" s="91">
        <f t="shared" si="81"/>
        <v>27997.193731818799</v>
      </c>
      <c r="BL20" s="91">
        <f t="shared" si="82"/>
        <v>20991.15476896672</v>
      </c>
      <c r="BM20" s="91">
        <f t="shared" si="83"/>
        <v>4.8988348500785519E-8</v>
      </c>
      <c r="BN20" s="91">
        <f t="shared" si="84"/>
        <v>3.5084685047123469E-8</v>
      </c>
      <c r="BO20" s="56">
        <f t="shared" si="96"/>
        <v>-1.390366345366205E-8</v>
      </c>
      <c r="BP20" s="10"/>
      <c r="BR20" s="1" t="s">
        <v>27</v>
      </c>
      <c r="BT20" s="56"/>
      <c r="BV20" s="56">
        <f t="shared" ref="BV20:BW20" si="101">SUM(BV18:BV19)</f>
        <v>5166.9004299999997</v>
      </c>
      <c r="BW20" s="56">
        <f t="shared" si="101"/>
        <v>309.83910546101538</v>
      </c>
      <c r="BX20" s="56">
        <f>SUM(BX18:BX19)</f>
        <v>5.4767395354610158E-9</v>
      </c>
      <c r="BY20" s="56">
        <f>SUM(BY18:BY19)</f>
        <v>1.3871768100049635E-8</v>
      </c>
      <c r="BZ20" s="56">
        <f>BY20-BX20</f>
        <v>8.3950285645886189E-9</v>
      </c>
      <c r="CA20" s="56"/>
      <c r="CB20" s="55">
        <v>2022</v>
      </c>
      <c r="CC20" s="55" t="s">
        <v>22</v>
      </c>
      <c r="CD20" s="55">
        <v>208086.27</v>
      </c>
      <c r="CE20" s="56">
        <v>3861400000</v>
      </c>
      <c r="CM20" s="55" t="s">
        <v>43</v>
      </c>
      <c r="CO20" s="55" t="s">
        <v>1</v>
      </c>
      <c r="CP20" s="55">
        <v>1236115.5799999991</v>
      </c>
      <c r="CQ20" s="55">
        <v>27719993793.879997</v>
      </c>
      <c r="CR20" s="55">
        <v>19095.3</v>
      </c>
      <c r="CS20" s="91">
        <f t="shared" si="85"/>
        <v>27997.193731818799</v>
      </c>
      <c r="CT20" s="91">
        <f t="shared" si="86"/>
        <v>20991.15476896672</v>
      </c>
      <c r="CU20" s="91">
        <f t="shared" si="87"/>
        <v>4.8988348500785519E-8</v>
      </c>
      <c r="CV20" s="91">
        <f t="shared" si="88"/>
        <v>2.3734870488522275E-7</v>
      </c>
      <c r="CW20" s="56">
        <f t="shared" si="98"/>
        <v>1.8836035638443723E-7</v>
      </c>
    </row>
    <row r="21" spans="1:101" x14ac:dyDescent="0.35">
      <c r="A21" s="55">
        <v>2020</v>
      </c>
      <c r="B21" s="55" t="s">
        <v>3</v>
      </c>
      <c r="C21" s="55">
        <f>179594.13</f>
        <v>179594.13</v>
      </c>
      <c r="D21" s="13">
        <v>4100930000</v>
      </c>
      <c r="M21" s="55" t="s">
        <v>17</v>
      </c>
      <c r="N21" s="55">
        <v>91493.06</v>
      </c>
      <c r="O21" s="56">
        <v>1426560000</v>
      </c>
      <c r="P21" s="55">
        <v>10024.9</v>
      </c>
      <c r="Q21" s="56">
        <f>O21*$M$49</f>
        <v>1440.8256000000001</v>
      </c>
      <c r="R21" s="56">
        <f>O21*P21*$M$48</f>
        <v>567.13546721670946</v>
      </c>
      <c r="S21" s="56">
        <f>SUM(Q21:R21)*0.000000000001</f>
        <v>2.0079610672167095E-9</v>
      </c>
      <c r="T21" s="56">
        <f>O21*$M$50*0.000000000001</f>
        <v>2.2511929460581155E-9</v>
      </c>
      <c r="AI21" s="55">
        <v>2020</v>
      </c>
      <c r="AJ21" s="55" t="s">
        <v>3</v>
      </c>
      <c r="AK21" s="55">
        <f>179594.13</f>
        <v>179594.13</v>
      </c>
      <c r="AL21" s="13">
        <v>4100930000</v>
      </c>
      <c r="AU21" s="55" t="s">
        <v>17</v>
      </c>
      <c r="AV21" s="55">
        <v>91493.06</v>
      </c>
      <c r="AW21" s="56">
        <v>1426560000</v>
      </c>
      <c r="AX21" s="55">
        <v>10024.9</v>
      </c>
      <c r="AY21" s="91">
        <f t="shared" ref="AY21:AY25" si="102">AW21*AU$49</f>
        <v>1440.8256000000001</v>
      </c>
      <c r="AZ21" s="91">
        <f t="shared" ref="AZ21:AZ25" si="103">AW21*AX21*AU$48</f>
        <v>567.13546721670946</v>
      </c>
      <c r="BA21" s="91">
        <f t="shared" ref="BA21:BA25" si="104">SUM(AY21:AZ21)*0.000000000001</f>
        <v>2.0079610672167095E-9</v>
      </c>
      <c r="BB21" s="91">
        <f t="shared" ref="BB21:BB25" si="105">AW21*AU$50*0.000000000001</f>
        <v>8.0737451507287815E-10</v>
      </c>
      <c r="BQ21" s="55">
        <v>2020</v>
      </c>
      <c r="BR21" s="55" t="s">
        <v>3</v>
      </c>
      <c r="BS21" s="55">
        <f>179594.13</f>
        <v>179594.13</v>
      </c>
      <c r="BT21" s="13">
        <v>4100930000</v>
      </c>
      <c r="CC21" s="55" t="s">
        <v>17</v>
      </c>
      <c r="CD21" s="55">
        <v>91493.06</v>
      </c>
      <c r="CE21" s="56">
        <v>1426560000</v>
      </c>
      <c r="CF21" s="55">
        <v>10024.9</v>
      </c>
      <c r="CG21" s="91">
        <f t="shared" ref="CG21:CG25" si="106">CE21*CC$49</f>
        <v>1440.8256000000001</v>
      </c>
      <c r="CH21" s="91">
        <f t="shared" ref="CH21:CH25" si="107">CE21*CF21*CC$48</f>
        <v>567.13546721670946</v>
      </c>
      <c r="CI21" s="91">
        <f t="shared" ref="CI21:CI25" si="108">SUM(CG21:CH21)*0.000000000001</f>
        <v>2.0079610672167095E-9</v>
      </c>
      <c r="CJ21" s="91">
        <f t="shared" ref="CJ21:CJ25" si="109">CE21*CC$50*0.000000000001</f>
        <v>7.4718514420211652E-9</v>
      </c>
    </row>
    <row r="22" spans="1:101" x14ac:dyDescent="0.35">
      <c r="B22" s="55" t="s">
        <v>4</v>
      </c>
      <c r="C22" s="55">
        <f>172595.13</f>
        <v>172595.13</v>
      </c>
      <c r="D22" s="13">
        <v>4076950000</v>
      </c>
      <c r="E22" s="55">
        <v>1519.17</v>
      </c>
      <c r="F22" s="56">
        <f>D22*$B$36</f>
        <v>4117.7195000000002</v>
      </c>
      <c r="G22" s="56">
        <f>D22*E22*$B$35</f>
        <v>245.61703079990178</v>
      </c>
      <c r="H22" s="56">
        <f>SUM(F22:G22)*0.000000000001</f>
        <v>4.3633365307999018E-9</v>
      </c>
      <c r="I22" s="56">
        <f>D22*$B$37*0.000000000001</f>
        <v>3.9415677367958616E-9</v>
      </c>
      <c r="J22" s="56"/>
      <c r="K22" s="56"/>
      <c r="M22" s="55" t="s">
        <v>18</v>
      </c>
      <c r="N22" s="55">
        <v>54730.36</v>
      </c>
      <c r="O22" s="56">
        <v>1333930000</v>
      </c>
      <c r="P22" s="55">
        <v>4511.93</v>
      </c>
      <c r="Q22" s="56">
        <f t="shared" ref="Q22:Q25" si="110">O22*$M$49</f>
        <v>1347.2693000000002</v>
      </c>
      <c r="R22" s="56">
        <f t="shared" ref="R22:R25" si="111">O22*P22*$M$48</f>
        <v>238.67784572684911</v>
      </c>
      <c r="S22" s="56">
        <f t="shared" ref="S22:S25" si="112">SUM(Q22:R22)*0.000000000001</f>
        <v>1.5859471457268491E-9</v>
      </c>
      <c r="T22" s="56">
        <f t="shared" ref="T22:T25" si="113">O22*$M$50*0.000000000001</f>
        <v>2.1050175292559037E-9</v>
      </c>
      <c r="X22" s="55">
        <v>2020</v>
      </c>
      <c r="Y22" s="55" t="s">
        <v>24</v>
      </c>
      <c r="Z22" s="55">
        <v>1318599.5300000012</v>
      </c>
      <c r="AA22" s="56">
        <v>31095256766.259991</v>
      </c>
      <c r="AJ22" s="55" t="s">
        <v>4</v>
      </c>
      <c r="AK22" s="55">
        <f>172595.13</f>
        <v>172595.13</v>
      </c>
      <c r="AL22" s="13">
        <v>4076950000</v>
      </c>
      <c r="AM22" s="55">
        <v>1519.17</v>
      </c>
      <c r="AN22" s="91">
        <f>AL22*AJ$36</f>
        <v>4117.7195000000002</v>
      </c>
      <c r="AO22" s="91">
        <f>AL22*AM22*AJ$35</f>
        <v>245.61703079990178</v>
      </c>
      <c r="AP22" s="91">
        <f>SUM(AN22:AO22)*0.000000000001</f>
        <v>4.3633365307999018E-9</v>
      </c>
      <c r="AQ22" s="91">
        <f>AL22*AJ$37*0.000000000001</f>
        <v>1.6825998733772099E-9</v>
      </c>
      <c r="AR22" s="56"/>
      <c r="AS22" s="56"/>
      <c r="AU22" s="55" t="s">
        <v>18</v>
      </c>
      <c r="AV22" s="55">
        <v>54730.36</v>
      </c>
      <c r="AW22" s="56">
        <v>1333930000</v>
      </c>
      <c r="AX22" s="55">
        <v>4511.93</v>
      </c>
      <c r="AY22" s="91">
        <f t="shared" si="102"/>
        <v>1347.2693000000002</v>
      </c>
      <c r="AZ22" s="91">
        <f t="shared" si="103"/>
        <v>238.67784572684911</v>
      </c>
      <c r="BA22" s="91">
        <f t="shared" si="104"/>
        <v>1.5859471457268491E-9</v>
      </c>
      <c r="BB22" s="91">
        <f t="shared" si="105"/>
        <v>7.549497300437166E-10</v>
      </c>
      <c r="BF22" s="55">
        <v>2020</v>
      </c>
      <c r="BG22" s="55" t="s">
        <v>24</v>
      </c>
      <c r="BH22" s="55">
        <v>1318599.5300000012</v>
      </c>
      <c r="BI22" s="56">
        <v>31095256766.259991</v>
      </c>
      <c r="BR22" s="55" t="s">
        <v>4</v>
      </c>
      <c r="BS22" s="55">
        <f>172595.13</f>
        <v>172595.13</v>
      </c>
      <c r="BT22" s="13">
        <v>4076950000</v>
      </c>
      <c r="BU22" s="55">
        <v>1519.17</v>
      </c>
      <c r="BV22" s="91">
        <f>BT22*BR$36</f>
        <v>4117.7195000000002</v>
      </c>
      <c r="BW22" s="91">
        <f>BT22*BU22*BR$35</f>
        <v>245.61703079990178</v>
      </c>
      <c r="BX22" s="91">
        <f>SUM(BV22:BW22)*0.000000000001</f>
        <v>4.3633365307999018E-9</v>
      </c>
      <c r="BY22" s="91">
        <f>BT22*BR$37*0.000000000001</f>
        <v>1.1054993371539061E-8</v>
      </c>
      <c r="BZ22" s="56"/>
      <c r="CA22" s="56"/>
      <c r="CC22" s="55" t="s">
        <v>18</v>
      </c>
      <c r="CD22" s="55">
        <v>54730.36</v>
      </c>
      <c r="CE22" s="56">
        <v>1333930000</v>
      </c>
      <c r="CF22" s="55">
        <v>4511.93</v>
      </c>
      <c r="CG22" s="91">
        <f t="shared" si="106"/>
        <v>1347.2693000000002</v>
      </c>
      <c r="CH22" s="91">
        <f t="shared" si="107"/>
        <v>238.67784572684911</v>
      </c>
      <c r="CI22" s="91">
        <f t="shared" si="108"/>
        <v>1.5859471457268491E-9</v>
      </c>
      <c r="CJ22" s="91">
        <f t="shared" si="109"/>
        <v>6.9866860097404198E-9</v>
      </c>
      <c r="CN22" s="55">
        <v>2020</v>
      </c>
      <c r="CO22" s="55" t="s">
        <v>24</v>
      </c>
      <c r="CP22" s="55">
        <v>1318599.5300000012</v>
      </c>
      <c r="CQ22" s="56">
        <v>31095256766.259991</v>
      </c>
    </row>
    <row r="23" spans="1:101" ht="15" thickBot="1" x14ac:dyDescent="0.4">
      <c r="B23" s="55" t="s">
        <v>5</v>
      </c>
      <c r="C23" s="55">
        <f>3987.64</f>
        <v>3987.64</v>
      </c>
      <c r="D23" s="13">
        <v>12079000</v>
      </c>
      <c r="E23" s="2">
        <v>5203.3100000000004</v>
      </c>
      <c r="F23" s="56">
        <f>D23*$B$36</f>
        <v>12.19979</v>
      </c>
      <c r="G23" s="56">
        <f>D23*E23*$B$35</f>
        <v>2.4924554143596018</v>
      </c>
      <c r="H23" s="56">
        <f>SUM(F23:G23)*0.000000000001</f>
        <v>1.4692245414359604E-11</v>
      </c>
      <c r="I23" s="56">
        <f>D23*$B$37*0.000000000001</f>
        <v>1.1677895655516306E-11</v>
      </c>
      <c r="J23" s="56"/>
      <c r="K23" s="56"/>
      <c r="M23" s="55" t="s">
        <v>16</v>
      </c>
      <c r="N23" s="55">
        <v>38629.629999999997</v>
      </c>
      <c r="O23" s="56">
        <v>904198000</v>
      </c>
      <c r="P23" s="55">
        <v>4900.57</v>
      </c>
      <c r="Q23" s="56">
        <f t="shared" si="110"/>
        <v>913.23998000000006</v>
      </c>
      <c r="R23" s="56">
        <f t="shared" si="111"/>
        <v>175.72229040894192</v>
      </c>
      <c r="S23" s="56">
        <f t="shared" si="112"/>
        <v>1.0889622704089421E-9</v>
      </c>
      <c r="T23" s="56">
        <f t="shared" si="113"/>
        <v>1.4268759529496523E-9</v>
      </c>
      <c r="W23" s="55" t="s">
        <v>42</v>
      </c>
      <c r="Y23" s="55" t="s">
        <v>1</v>
      </c>
      <c r="Z23" s="55">
        <f>Z22-(N33+C21)</f>
        <v>999873.30000000121</v>
      </c>
      <c r="AA23" s="56">
        <f>AA22-(O33+D21)</f>
        <v>23597456766.259991</v>
      </c>
      <c r="AB23" s="2">
        <v>38.352499999999999</v>
      </c>
      <c r="AC23" s="56">
        <f>AA23*$Y$38</f>
        <v>23833.431333922592</v>
      </c>
      <c r="AD23" s="56">
        <f>AA23*AB23*$Y$37</f>
        <v>35.890176481143058</v>
      </c>
      <c r="AE23" s="56">
        <f>SUM(AC23:AD23)*0.000000000001</f>
        <v>2.3869321510403734E-8</v>
      </c>
      <c r="AF23" s="56">
        <f>AA23*$Y$39*0.000000000001</f>
        <v>7.3551411380332831E-8</v>
      </c>
      <c r="AG23" s="56">
        <f>AF23-AE23</f>
        <v>4.9682089869929095E-8</v>
      </c>
      <c r="AH23" s="10"/>
      <c r="AJ23" s="55" t="s">
        <v>5</v>
      </c>
      <c r="AK23" s="55">
        <f>3987.64</f>
        <v>3987.64</v>
      </c>
      <c r="AL23" s="13">
        <v>12079000</v>
      </c>
      <c r="AM23" s="2">
        <v>5203.3100000000004</v>
      </c>
      <c r="AN23" s="91">
        <f>AL23*AJ$36</f>
        <v>12.19979</v>
      </c>
      <c r="AO23" s="91">
        <f>AL23*AM23*AJ$35</f>
        <v>2.4924554143596018</v>
      </c>
      <c r="AP23" s="91">
        <f>SUM(AN23:AO23)*0.000000000001</f>
        <v>1.4692245414359604E-11</v>
      </c>
      <c r="AQ23" s="91">
        <f>AL23*AJ$37*0.000000000001</f>
        <v>4.9851295381408448E-12</v>
      </c>
      <c r="AR23" s="56"/>
      <c r="AS23" s="56"/>
      <c r="AU23" s="55" t="s">
        <v>16</v>
      </c>
      <c r="AV23" s="55">
        <v>38629.629999999997</v>
      </c>
      <c r="AW23" s="56">
        <v>904198000</v>
      </c>
      <c r="AX23" s="55">
        <v>4900.57</v>
      </c>
      <c r="AY23" s="91">
        <f t="shared" si="102"/>
        <v>913.23998000000006</v>
      </c>
      <c r="AZ23" s="91">
        <f t="shared" si="103"/>
        <v>175.72229040894192</v>
      </c>
      <c r="BA23" s="91">
        <f t="shared" si="104"/>
        <v>1.0889622704089421E-9</v>
      </c>
      <c r="BB23" s="91">
        <f t="shared" si="105"/>
        <v>5.1173902379140468E-10</v>
      </c>
      <c r="BE23" s="55" t="s">
        <v>42</v>
      </c>
      <c r="BG23" s="55" t="s">
        <v>1</v>
      </c>
      <c r="BH23" s="55">
        <f>BH22-(AV33+AK21)</f>
        <v>999873.30000000121</v>
      </c>
      <c r="BI23" s="56">
        <f>BI22-(AW33+AL21)</f>
        <v>23597456766.259991</v>
      </c>
      <c r="BJ23" s="2">
        <v>38.352499999999999</v>
      </c>
      <c r="BK23" s="91">
        <f t="shared" ref="BK23:BK25" si="114">BI23*BG$38</f>
        <v>23833.431333922592</v>
      </c>
      <c r="BL23" s="91">
        <f t="shared" ref="BL23:BL25" si="115">BI23*BJ23*BG$37</f>
        <v>35.890176481143058</v>
      </c>
      <c r="BM23" s="91">
        <f t="shared" ref="BM23:BM25" si="116">SUM(BK23:BL23)*0.000000000001</f>
        <v>2.3869321510403734E-8</v>
      </c>
      <c r="BN23" s="91">
        <f t="shared" ref="BN23:BN25" si="117">BI23*BG$39*0.000000000001</f>
        <v>2.9866865942088697E-8</v>
      </c>
      <c r="BO23" s="56">
        <f>BN23-BM23</f>
        <v>5.9975444316849636E-9</v>
      </c>
      <c r="BP23" s="10"/>
      <c r="BR23" s="55" t="s">
        <v>5</v>
      </c>
      <c r="BS23" s="55">
        <f>3987.64</f>
        <v>3987.64</v>
      </c>
      <c r="BT23" s="13">
        <v>12079000</v>
      </c>
      <c r="BU23" s="2">
        <v>5203.3100000000004</v>
      </c>
      <c r="BV23" s="91">
        <f>BT23*BR$36</f>
        <v>12.19979</v>
      </c>
      <c r="BW23" s="91">
        <f>BT23*BU23*BR$35</f>
        <v>2.4924554143596018</v>
      </c>
      <c r="BX23" s="91">
        <f>SUM(BV23:BW23)*0.000000000001</f>
        <v>1.4692245414359604E-11</v>
      </c>
      <c r="BY23" s="91">
        <f>BT23*BR$37*0.000000000001</f>
        <v>3.2753226047614104E-11</v>
      </c>
      <c r="BZ23" s="56"/>
      <c r="CA23" s="56"/>
      <c r="CC23" s="55" t="s">
        <v>16</v>
      </c>
      <c r="CD23" s="55">
        <v>38629.629999999997</v>
      </c>
      <c r="CE23" s="56">
        <v>904198000</v>
      </c>
      <c r="CF23" s="55">
        <v>4900.57</v>
      </c>
      <c r="CG23" s="91">
        <f t="shared" si="106"/>
        <v>913.23998000000006</v>
      </c>
      <c r="CH23" s="91">
        <f t="shared" si="107"/>
        <v>175.72229040894192</v>
      </c>
      <c r="CI23" s="91">
        <f t="shared" si="108"/>
        <v>1.0889622704089421E-9</v>
      </c>
      <c r="CJ23" s="91">
        <f t="shared" si="109"/>
        <v>4.7358913261080166E-9</v>
      </c>
      <c r="CM23" s="55" t="s">
        <v>42</v>
      </c>
      <c r="CO23" s="55" t="s">
        <v>1</v>
      </c>
      <c r="CP23" s="55">
        <f>CP22-(CD33+BS21)</f>
        <v>999873.30000000121</v>
      </c>
      <c r="CQ23" s="56">
        <f>CQ22-(CE33+BT21)</f>
        <v>23597456766.259991</v>
      </c>
      <c r="CR23" s="2">
        <v>38.352499999999999</v>
      </c>
      <c r="CS23" s="91">
        <f t="shared" ref="CS23:CS25" si="118">CQ23*CO$38</f>
        <v>23833.431333922592</v>
      </c>
      <c r="CT23" s="91">
        <f t="shared" ref="CT23:CT25" si="119">CQ23*CR23*CO$37</f>
        <v>35.890176481143058</v>
      </c>
      <c r="CU23" s="91">
        <f t="shared" ref="CU23:CU25" si="120">SUM(CS23:CT23)*0.000000000001</f>
        <v>2.3869321510403734E-8</v>
      </c>
      <c r="CV23" s="91">
        <f t="shared" ref="CV23:CV25" si="121">CQ23*CO$39*0.000000000001</f>
        <v>2.0205003809536897E-7</v>
      </c>
      <c r="CW23" s="56">
        <f>CV23-CU23</f>
        <v>1.7818071658496524E-7</v>
      </c>
    </row>
    <row r="24" spans="1:101" ht="15" thickBot="1" x14ac:dyDescent="0.4">
      <c r="B24" s="1" t="s">
        <v>27</v>
      </c>
      <c r="D24" s="56"/>
      <c r="F24" s="56">
        <f t="shared" ref="F24:G24" si="122">SUM(F22:F23)</f>
        <v>4129.9192899999998</v>
      </c>
      <c r="G24" s="56">
        <f t="shared" si="122"/>
        <v>248.10948621426138</v>
      </c>
      <c r="H24" s="56">
        <f>SUM(H22:H23)</f>
        <v>4.3780287762142615E-9</v>
      </c>
      <c r="I24" s="56">
        <f>SUM(I22:I23)</f>
        <v>3.9532456324513778E-9</v>
      </c>
      <c r="J24" s="56">
        <f>I24-H24</f>
        <v>-4.2478314376288367E-10</v>
      </c>
      <c r="K24" s="56"/>
      <c r="M24" s="55" t="s">
        <v>19</v>
      </c>
      <c r="N24" s="55">
        <v>6122.62</v>
      </c>
      <c r="O24" s="56">
        <v>115150000</v>
      </c>
      <c r="P24" s="55">
        <v>13389.8</v>
      </c>
      <c r="Q24" s="56">
        <f t="shared" si="110"/>
        <v>116.3015</v>
      </c>
      <c r="R24" s="56">
        <f t="shared" si="111"/>
        <v>61.144126996489646</v>
      </c>
      <c r="S24" s="56">
        <f t="shared" si="112"/>
        <v>1.7744562699648963E-10</v>
      </c>
      <c r="T24" s="56">
        <f t="shared" si="113"/>
        <v>1.8171325968665324E-10</v>
      </c>
      <c r="W24" s="55" t="s">
        <v>47</v>
      </c>
      <c r="Y24" s="55" t="s">
        <v>1</v>
      </c>
      <c r="Z24" s="55">
        <v>999873.30000000121</v>
      </c>
      <c r="AA24" s="15">
        <v>23597456766.259991</v>
      </c>
      <c r="AB24" s="2">
        <v>3240</v>
      </c>
      <c r="AC24" s="56">
        <f t="shared" ref="AC24:AC25" si="123">AA24*$Y$38</f>
        <v>23833.431333922592</v>
      </c>
      <c r="AD24" s="56">
        <f t="shared" ref="AD24:AD25" si="124">AA24*AB24*$Y$37</f>
        <v>3031.9841418135325</v>
      </c>
      <c r="AE24" s="56">
        <f t="shared" ref="AE24:AE25" si="125">SUM(AC24:AD24)*0.000000000001</f>
        <v>2.6865415475736124E-8</v>
      </c>
      <c r="AF24" s="56">
        <f t="shared" ref="AF24:AF25" si="126">AA24*$Y$39*0.000000000001</f>
        <v>7.3551411380332831E-8</v>
      </c>
      <c r="AG24" s="56">
        <f t="shared" ref="AG24:AG25" si="127">AF24-AE24</f>
        <v>4.6685995904596705E-8</v>
      </c>
      <c r="AH24" s="10"/>
      <c r="AJ24" s="1" t="s">
        <v>27</v>
      </c>
      <c r="AL24" s="56"/>
      <c r="AN24" s="56">
        <f t="shared" ref="AN24:AO24" si="128">SUM(AN22:AN23)</f>
        <v>4129.9192899999998</v>
      </c>
      <c r="AO24" s="56">
        <f t="shared" si="128"/>
        <v>248.10948621426138</v>
      </c>
      <c r="AP24" s="56">
        <f>SUM(AP22:AP23)</f>
        <v>4.3780287762142615E-9</v>
      </c>
      <c r="AQ24" s="56">
        <f>SUM(AQ22:AQ23)</f>
        <v>1.6875850029153507E-9</v>
      </c>
      <c r="AR24" s="56">
        <f>AQ24-AP24</f>
        <v>-2.6904437732989105E-9</v>
      </c>
      <c r="AS24" s="56"/>
      <c r="AU24" s="55" t="s">
        <v>19</v>
      </c>
      <c r="AV24" s="55">
        <v>6122.62</v>
      </c>
      <c r="AW24" s="56">
        <v>115150000</v>
      </c>
      <c r="AX24" s="55">
        <v>13389.8</v>
      </c>
      <c r="AY24" s="91">
        <f t="shared" si="102"/>
        <v>116.3015</v>
      </c>
      <c r="AZ24" s="91">
        <f t="shared" si="103"/>
        <v>61.144126996489646</v>
      </c>
      <c r="BA24" s="91">
        <f t="shared" si="104"/>
        <v>1.7744562699648963E-10</v>
      </c>
      <c r="BB24" s="91">
        <f t="shared" si="105"/>
        <v>6.5170182404274554E-11</v>
      </c>
      <c r="BE24" s="55" t="s">
        <v>47</v>
      </c>
      <c r="BG24" s="55" t="s">
        <v>1</v>
      </c>
      <c r="BH24" s="55">
        <v>999873.30000000121</v>
      </c>
      <c r="BI24" s="15">
        <v>23597456766.259991</v>
      </c>
      <c r="BJ24" s="2">
        <v>3240</v>
      </c>
      <c r="BK24" s="91">
        <f t="shared" si="114"/>
        <v>23833.431333922592</v>
      </c>
      <c r="BL24" s="91">
        <f t="shared" si="115"/>
        <v>3031.9841418135325</v>
      </c>
      <c r="BM24" s="91">
        <f t="shared" si="116"/>
        <v>2.6865415475736124E-8</v>
      </c>
      <c r="BN24" s="91">
        <f t="shared" si="117"/>
        <v>2.9866865942088697E-8</v>
      </c>
      <c r="BO24" s="56">
        <f t="shared" ref="BO24:BO25" si="129">BN24-BM24</f>
        <v>3.0014504663525736E-9</v>
      </c>
      <c r="BP24" s="10"/>
      <c r="BR24" s="1" t="s">
        <v>27</v>
      </c>
      <c r="BT24" s="56"/>
      <c r="BV24" s="56">
        <f t="shared" ref="BV24:BW24" si="130">SUM(BV22:BV23)</f>
        <v>4129.9192899999998</v>
      </c>
      <c r="BW24" s="56">
        <f t="shared" si="130"/>
        <v>248.10948621426138</v>
      </c>
      <c r="BX24" s="56">
        <f>SUM(BX22:BX23)</f>
        <v>4.3780287762142615E-9</v>
      </c>
      <c r="BY24" s="56">
        <f>SUM(BY22:BY23)</f>
        <v>1.1087746597586676E-8</v>
      </c>
      <c r="BZ24" s="56">
        <f>BY24-BX24</f>
        <v>6.7097178213724143E-9</v>
      </c>
      <c r="CA24" s="56"/>
      <c r="CC24" s="55" t="s">
        <v>19</v>
      </c>
      <c r="CD24" s="55">
        <v>6122.62</v>
      </c>
      <c r="CE24" s="56">
        <v>115150000</v>
      </c>
      <c r="CF24" s="55">
        <v>13389.8</v>
      </c>
      <c r="CG24" s="91">
        <f t="shared" si="106"/>
        <v>116.3015</v>
      </c>
      <c r="CH24" s="91">
        <f t="shared" si="107"/>
        <v>61.144126996489646</v>
      </c>
      <c r="CI24" s="91">
        <f t="shared" si="108"/>
        <v>1.7744562699648963E-10</v>
      </c>
      <c r="CJ24" s="91">
        <f t="shared" si="109"/>
        <v>6.0311777531175496E-10</v>
      </c>
      <c r="CM24" s="55" t="s">
        <v>47</v>
      </c>
      <c r="CO24" s="55" t="s">
        <v>1</v>
      </c>
      <c r="CP24" s="55">
        <v>999873.30000000121</v>
      </c>
      <c r="CQ24" s="15">
        <v>23597456766.259991</v>
      </c>
      <c r="CR24" s="2">
        <v>3240</v>
      </c>
      <c r="CS24" s="91">
        <f t="shared" si="118"/>
        <v>23833.431333922592</v>
      </c>
      <c r="CT24" s="91">
        <f t="shared" si="119"/>
        <v>3031.9841418135325</v>
      </c>
      <c r="CU24" s="91">
        <f t="shared" si="120"/>
        <v>2.6865415475736124E-8</v>
      </c>
      <c r="CV24" s="91">
        <f t="shared" si="121"/>
        <v>2.0205003809536897E-7</v>
      </c>
      <c r="CW24" s="56">
        <f t="shared" ref="CW24:CW25" si="131">CV24-CU24</f>
        <v>1.7518462261963284E-7</v>
      </c>
    </row>
    <row r="25" spans="1:101" ht="15" thickBot="1" x14ac:dyDescent="0.4">
      <c r="A25" s="55">
        <v>2019</v>
      </c>
      <c r="B25" s="55" t="s">
        <v>3</v>
      </c>
      <c r="C25" s="55">
        <f>236543.02</f>
        <v>236543.02</v>
      </c>
      <c r="D25" s="14">
        <v>5168340000</v>
      </c>
      <c r="E25" s="4"/>
      <c r="M25" s="55" t="s">
        <v>20</v>
      </c>
      <c r="N25" s="55">
        <v>1522.14</v>
      </c>
      <c r="O25" s="56">
        <v>38216900</v>
      </c>
      <c r="P25" s="55">
        <v>13090.6</v>
      </c>
      <c r="Q25" s="56">
        <f t="shared" si="110"/>
        <v>38.599069</v>
      </c>
      <c r="R25" s="56">
        <f t="shared" si="111"/>
        <v>19.839545774220117</v>
      </c>
      <c r="S25" s="56">
        <f t="shared" si="112"/>
        <v>5.8438614774220111E-11</v>
      </c>
      <c r="T25" s="56">
        <f t="shared" si="113"/>
        <v>6.0308445281101664E-11</v>
      </c>
      <c r="W25" s="55" t="s">
        <v>43</v>
      </c>
      <c r="Y25" s="55" t="s">
        <v>1</v>
      </c>
      <c r="Z25" s="55">
        <v>999873.30000000121</v>
      </c>
      <c r="AA25" s="55">
        <v>23597456766.259991</v>
      </c>
      <c r="AB25" s="55">
        <v>19095.3</v>
      </c>
      <c r="AC25" s="56">
        <f t="shared" si="123"/>
        <v>23833.431333922592</v>
      </c>
      <c r="AD25" s="56">
        <f t="shared" si="124"/>
        <v>17869.33542690492</v>
      </c>
      <c r="AE25" s="56">
        <f t="shared" si="125"/>
        <v>4.170276676082751E-8</v>
      </c>
      <c r="AF25" s="56">
        <f t="shared" si="126"/>
        <v>7.3551411380332831E-8</v>
      </c>
      <c r="AG25" s="56">
        <f t="shared" si="127"/>
        <v>3.1848644619505321E-8</v>
      </c>
      <c r="AH25" s="10"/>
      <c r="AI25" s="55">
        <v>2019</v>
      </c>
      <c r="AJ25" s="55" t="s">
        <v>3</v>
      </c>
      <c r="AK25" s="55">
        <f>236543.02</f>
        <v>236543.02</v>
      </c>
      <c r="AL25" s="14">
        <v>5168340000</v>
      </c>
      <c r="AM25" s="4"/>
      <c r="AU25" s="55" t="s">
        <v>20</v>
      </c>
      <c r="AV25" s="55">
        <v>1522.14</v>
      </c>
      <c r="AW25" s="56">
        <v>38216900</v>
      </c>
      <c r="AX25" s="55">
        <v>13090.6</v>
      </c>
      <c r="AY25" s="91">
        <f t="shared" si="102"/>
        <v>38.599069</v>
      </c>
      <c r="AZ25" s="91">
        <f t="shared" si="103"/>
        <v>19.839545774220117</v>
      </c>
      <c r="BA25" s="91">
        <f t="shared" si="104"/>
        <v>5.8438614774220111E-11</v>
      </c>
      <c r="BB25" s="91">
        <f t="shared" si="105"/>
        <v>2.1629199686720976E-11</v>
      </c>
      <c r="BE25" s="55" t="s">
        <v>43</v>
      </c>
      <c r="BG25" s="55" t="s">
        <v>1</v>
      </c>
      <c r="BH25" s="55">
        <v>999873.30000000121</v>
      </c>
      <c r="BI25" s="55">
        <v>23597456766.259991</v>
      </c>
      <c r="BJ25" s="55">
        <v>19095.3</v>
      </c>
      <c r="BK25" s="91">
        <f t="shared" si="114"/>
        <v>23833.431333922592</v>
      </c>
      <c r="BL25" s="91">
        <f t="shared" si="115"/>
        <v>17869.33542690492</v>
      </c>
      <c r="BM25" s="91">
        <f t="shared" si="116"/>
        <v>4.170276676082751E-8</v>
      </c>
      <c r="BN25" s="91">
        <f t="shared" si="117"/>
        <v>2.9866865942088697E-8</v>
      </c>
      <c r="BO25" s="56">
        <f t="shared" si="129"/>
        <v>-1.1835900818738813E-8</v>
      </c>
      <c r="BP25" s="10"/>
      <c r="BQ25" s="55">
        <v>2019</v>
      </c>
      <c r="BR25" s="55" t="s">
        <v>3</v>
      </c>
      <c r="BS25" s="55">
        <f>236543.02</f>
        <v>236543.02</v>
      </c>
      <c r="BT25" s="14">
        <v>5168340000</v>
      </c>
      <c r="BU25" s="4"/>
      <c r="CC25" s="55" t="s">
        <v>20</v>
      </c>
      <c r="CD25" s="55">
        <v>1522.14</v>
      </c>
      <c r="CE25" s="56">
        <v>38216900</v>
      </c>
      <c r="CF25" s="55">
        <v>13090.6</v>
      </c>
      <c r="CG25" s="91">
        <f t="shared" si="106"/>
        <v>38.599069</v>
      </c>
      <c r="CH25" s="91">
        <f t="shared" si="107"/>
        <v>19.839545774220117</v>
      </c>
      <c r="CI25" s="91">
        <f t="shared" si="108"/>
        <v>5.8438614774220111E-11</v>
      </c>
      <c r="CJ25" s="91">
        <f t="shared" si="109"/>
        <v>2.0016753545212164E-10</v>
      </c>
      <c r="CM25" s="55" t="s">
        <v>43</v>
      </c>
      <c r="CO25" s="55" t="s">
        <v>1</v>
      </c>
      <c r="CP25" s="55">
        <v>999873.30000000121</v>
      </c>
      <c r="CQ25" s="55">
        <v>23597456766.259991</v>
      </c>
      <c r="CR25" s="55">
        <v>19095.3</v>
      </c>
      <c r="CS25" s="91">
        <f t="shared" si="118"/>
        <v>23833.431333922592</v>
      </c>
      <c r="CT25" s="91">
        <f t="shared" si="119"/>
        <v>17869.33542690492</v>
      </c>
      <c r="CU25" s="91">
        <f t="shared" si="120"/>
        <v>4.170276676082751E-8</v>
      </c>
      <c r="CV25" s="91">
        <f t="shared" si="121"/>
        <v>2.0205003809536897E-7</v>
      </c>
      <c r="CW25" s="56">
        <f t="shared" si="131"/>
        <v>1.6034727133454146E-7</v>
      </c>
    </row>
    <row r="26" spans="1:101" x14ac:dyDescent="0.35">
      <c r="B26" s="55" t="s">
        <v>4</v>
      </c>
      <c r="C26" s="55">
        <f>231713.16</f>
        <v>231713.16</v>
      </c>
      <c r="D26" s="13">
        <v>5152700000</v>
      </c>
      <c r="E26" s="55">
        <v>1519.17</v>
      </c>
      <c r="F26" s="56">
        <f>D26*$B$36</f>
        <v>5204.2270000000008</v>
      </c>
      <c r="G26" s="56">
        <f>D26*E26*$B$35</f>
        <v>310.42590039187479</v>
      </c>
      <c r="H26" s="56">
        <f>SUM(F26:G26)*0.000000000001</f>
        <v>5.5146529003918754E-9</v>
      </c>
      <c r="I26" s="56">
        <f>D26*$B$37*0.000000000001</f>
        <v>4.9815955744828939E-9</v>
      </c>
      <c r="J26" s="56"/>
      <c r="K26" s="56"/>
      <c r="M26" s="1" t="s">
        <v>27</v>
      </c>
      <c r="Q26" s="56">
        <f>SUM(Q21:Q25)</f>
        <v>3856.2354490000002</v>
      </c>
      <c r="R26" s="56">
        <f t="shared" ref="R26:T26" si="132">SUM(R21:R25)</f>
        <v>1062.5192761232104</v>
      </c>
      <c r="S26" s="56">
        <f t="shared" si="132"/>
        <v>4.9187547251232111E-9</v>
      </c>
      <c r="T26" s="56">
        <f t="shared" si="132"/>
        <v>6.0251081332314268E-9</v>
      </c>
      <c r="U26" s="56">
        <f>T26-S26</f>
        <v>1.1063534081082157E-9</v>
      </c>
      <c r="V26" s="56"/>
      <c r="X26" s="55">
        <v>2019</v>
      </c>
      <c r="Y26" s="55" t="s">
        <v>24</v>
      </c>
      <c r="Z26" s="55">
        <v>1485024.6500000008</v>
      </c>
      <c r="AA26" s="56">
        <v>34587127556.550003</v>
      </c>
      <c r="AJ26" s="55" t="s">
        <v>4</v>
      </c>
      <c r="AK26" s="55">
        <f>231713.16</f>
        <v>231713.16</v>
      </c>
      <c r="AL26" s="13">
        <v>5152700000</v>
      </c>
      <c r="AM26" s="55">
        <v>1519.17</v>
      </c>
      <c r="AN26" s="91">
        <f>AL26*AJ$36</f>
        <v>5204.2270000000008</v>
      </c>
      <c r="AO26" s="91">
        <f>AL26*AM26*AJ$35</f>
        <v>310.42590039187479</v>
      </c>
      <c r="AP26" s="91">
        <f>SUM(AN26:AO26)*0.000000000001</f>
        <v>5.5146529003918754E-9</v>
      </c>
      <c r="AQ26" s="91">
        <f>AL26*AJ$37*0.000000000001</f>
        <v>2.1265731410860443E-9</v>
      </c>
      <c r="AR26" s="56"/>
      <c r="AS26" s="56"/>
      <c r="AU26" s="1" t="s">
        <v>27</v>
      </c>
      <c r="AY26" s="56">
        <f>SUM(AY21:AY25)</f>
        <v>3856.2354490000002</v>
      </c>
      <c r="AZ26" s="56">
        <f t="shared" ref="AZ26:BB26" si="133">SUM(AZ21:AZ25)</f>
        <v>1062.5192761232104</v>
      </c>
      <c r="BA26" s="56">
        <f t="shared" si="133"/>
        <v>4.9187547251232111E-9</v>
      </c>
      <c r="BB26" s="56">
        <f t="shared" si="133"/>
        <v>2.1608626509989946E-9</v>
      </c>
      <c r="BC26" s="56">
        <f>BB26-BA26</f>
        <v>-2.7578920741242164E-9</v>
      </c>
      <c r="BD26" s="56"/>
      <c r="BF26" s="55">
        <v>2019</v>
      </c>
      <c r="BG26" s="55" t="s">
        <v>24</v>
      </c>
      <c r="BH26" s="55">
        <v>1485024.6500000008</v>
      </c>
      <c r="BI26" s="56">
        <v>34587127556.550003</v>
      </c>
      <c r="BR26" s="55" t="s">
        <v>4</v>
      </c>
      <c r="BS26" s="55">
        <f>231713.16</f>
        <v>231713.16</v>
      </c>
      <c r="BT26" s="13">
        <v>5152700000</v>
      </c>
      <c r="BU26" s="55">
        <v>1519.17</v>
      </c>
      <c r="BV26" s="91">
        <f>BT26*BR$36</f>
        <v>5204.2270000000008</v>
      </c>
      <c r="BW26" s="91">
        <f>BT26*BU26*BR$35</f>
        <v>310.42590039187479</v>
      </c>
      <c r="BX26" s="91">
        <f>SUM(BV26:BW26)*0.000000000001</f>
        <v>5.5146529003918754E-9</v>
      </c>
      <c r="BY26" s="91">
        <f>BT26*BR$37*0.000000000001</f>
        <v>1.3971980118846031E-8</v>
      </c>
      <c r="BZ26" s="56"/>
      <c r="CA26" s="56"/>
      <c r="CC26" s="1" t="s">
        <v>27</v>
      </c>
      <c r="CG26" s="56">
        <f>SUM(CG21:CG25)</f>
        <v>3856.2354490000002</v>
      </c>
      <c r="CH26" s="56">
        <f t="shared" ref="CH26:CJ26" si="134">SUM(CH21:CH25)</f>
        <v>1062.5192761232104</v>
      </c>
      <c r="CI26" s="56">
        <f t="shared" si="134"/>
        <v>4.9187547251232111E-9</v>
      </c>
      <c r="CJ26" s="56">
        <f t="shared" si="134"/>
        <v>1.9997714088633478E-8</v>
      </c>
      <c r="CK26" s="56">
        <f>CJ26-CI26</f>
        <v>1.5078959363510267E-8</v>
      </c>
      <c r="CL26" s="56"/>
      <c r="CN26" s="55">
        <v>2019</v>
      </c>
      <c r="CO26" s="55" t="s">
        <v>24</v>
      </c>
      <c r="CP26" s="55">
        <v>1485024.6500000008</v>
      </c>
      <c r="CQ26" s="56">
        <v>34587127556.550003</v>
      </c>
    </row>
    <row r="27" spans="1:101" x14ac:dyDescent="0.35">
      <c r="B27" s="55" t="s">
        <v>5</v>
      </c>
      <c r="C27" s="55">
        <f>2558.59</f>
        <v>2558.59</v>
      </c>
      <c r="D27" s="13">
        <v>7620790</v>
      </c>
      <c r="E27" s="2">
        <v>5203.3100000000004</v>
      </c>
      <c r="F27" s="56">
        <f>D27*$B$36</f>
        <v>7.6969979000000004</v>
      </c>
      <c r="G27" s="56">
        <f>D27*E27*$B$35</f>
        <v>1.5725208458645177</v>
      </c>
      <c r="H27" s="56">
        <f>SUM(F27:G27)*0.000000000001</f>
        <v>9.2695187458645177E-12</v>
      </c>
      <c r="I27" s="56">
        <f>D27*$B$37*0.000000000001</f>
        <v>7.3677283245800257E-12</v>
      </c>
      <c r="J27" s="56"/>
      <c r="K27" s="56"/>
      <c r="L27" s="55">
        <v>2021</v>
      </c>
      <c r="M27" s="55" t="s">
        <v>22</v>
      </c>
      <c r="N27" s="55">
        <v>170860.49</v>
      </c>
      <c r="O27" s="56">
        <v>3454720000</v>
      </c>
      <c r="W27" s="55" t="s">
        <v>42</v>
      </c>
      <c r="Y27" s="55" t="s">
        <v>1</v>
      </c>
      <c r="Z27" s="55">
        <f>Z26-(N38+C25)</f>
        <v>1147760.8400000008</v>
      </c>
      <c r="AA27" s="56">
        <f>AA26-(O38+D25)</f>
        <v>27261617556.550003</v>
      </c>
      <c r="AB27" s="2">
        <v>38.352499999999999</v>
      </c>
      <c r="AC27" s="56">
        <f>AA27*$Y$38</f>
        <v>27534.233732115506</v>
      </c>
      <c r="AD27" s="56">
        <f>AA27*AB27*$Y$37</f>
        <v>41.463123545795568</v>
      </c>
      <c r="AE27" s="56">
        <f>SUM(AC27:AD27)*0.000000000001</f>
        <v>2.7575696855661302E-8</v>
      </c>
      <c r="AF27" s="56">
        <f>AA27*$Y$39*0.000000000001</f>
        <v>8.4972311535795659E-8</v>
      </c>
      <c r="AG27" s="56">
        <f>AF27-AE27</f>
        <v>5.7396614680134353E-8</v>
      </c>
      <c r="AH27" s="10"/>
      <c r="AJ27" s="55" t="s">
        <v>5</v>
      </c>
      <c r="AK27" s="55">
        <f>2558.59</f>
        <v>2558.59</v>
      </c>
      <c r="AL27" s="13">
        <v>7620790</v>
      </c>
      <c r="AM27" s="2">
        <v>5203.3100000000004</v>
      </c>
      <c r="AN27" s="91">
        <f>AL27*AJ$36</f>
        <v>7.6969979000000004</v>
      </c>
      <c r="AO27" s="91">
        <f>AL27*AM27*AJ$35</f>
        <v>1.5725208458645177</v>
      </c>
      <c r="AP27" s="91">
        <f>SUM(AN27:AO27)*0.000000000001</f>
        <v>9.2695187458645177E-12</v>
      </c>
      <c r="AQ27" s="91">
        <f>AL27*AJ$37*0.000000000001</f>
        <v>3.1451796781992191E-12</v>
      </c>
      <c r="AR27" s="56"/>
      <c r="AS27" s="56"/>
      <c r="AT27" s="55">
        <v>2021</v>
      </c>
      <c r="AU27" s="55" t="s">
        <v>22</v>
      </c>
      <c r="AV27" s="55">
        <v>170860.49</v>
      </c>
      <c r="AW27" s="56">
        <v>3454720000</v>
      </c>
      <c r="BE27" s="55" t="s">
        <v>42</v>
      </c>
      <c r="BG27" s="55" t="s">
        <v>1</v>
      </c>
      <c r="BH27" s="55">
        <f>BH26-(AV38+AK25)</f>
        <v>1147760.8400000008</v>
      </c>
      <c r="BI27" s="56">
        <f>BI26-(AW38+AL25)</f>
        <v>27261617556.550003</v>
      </c>
      <c r="BJ27" s="2">
        <v>38.352499999999999</v>
      </c>
      <c r="BK27" s="91">
        <f t="shared" ref="BK27:BK29" si="135">BI27*BG$38</f>
        <v>27534.233732115506</v>
      </c>
      <c r="BL27" s="91">
        <f t="shared" ref="BL27:BL29" si="136">BI27*BJ27*BG$37</f>
        <v>41.463123545795568</v>
      </c>
      <c r="BM27" s="91">
        <f t="shared" ref="BM27:BM29" si="137">SUM(BK27:BL27)*0.000000000001</f>
        <v>2.7575696855661302E-8</v>
      </c>
      <c r="BN27" s="91">
        <f t="shared" ref="BN27:BN29" si="138">BI27*BG$39*0.000000000001</f>
        <v>3.4504526695018827E-8</v>
      </c>
      <c r="BO27" s="56">
        <f>BN27-BM27</f>
        <v>6.9288298393575256E-9</v>
      </c>
      <c r="BP27" s="10"/>
      <c r="BR27" s="55" t="s">
        <v>5</v>
      </c>
      <c r="BS27" s="55">
        <f>2558.59</f>
        <v>2558.59</v>
      </c>
      <c r="BT27" s="13">
        <v>7620790</v>
      </c>
      <c r="BU27" s="2">
        <v>5203.3100000000004</v>
      </c>
      <c r="BV27" s="91">
        <f>BT27*BR$36</f>
        <v>7.6969979000000004</v>
      </c>
      <c r="BW27" s="91">
        <f>BT27*BU27*BR$35</f>
        <v>1.5725208458645177</v>
      </c>
      <c r="BX27" s="91">
        <f>SUM(BV27:BW27)*0.000000000001</f>
        <v>9.2695187458645177E-12</v>
      </c>
      <c r="BY27" s="91">
        <f>BT27*BR$37*0.000000000001</f>
        <v>2.0664414068333234E-11</v>
      </c>
      <c r="BZ27" s="56"/>
      <c r="CA27" s="56"/>
      <c r="CB27" s="55">
        <v>2021</v>
      </c>
      <c r="CC27" s="55" t="s">
        <v>22</v>
      </c>
      <c r="CD27" s="55">
        <v>170860.49</v>
      </c>
      <c r="CE27" s="56">
        <v>3454720000</v>
      </c>
      <c r="CM27" s="55" t="s">
        <v>42</v>
      </c>
      <c r="CO27" s="55" t="s">
        <v>1</v>
      </c>
      <c r="CP27" s="55">
        <f>CP26-(CD38+BS25)</f>
        <v>1147760.8400000008</v>
      </c>
      <c r="CQ27" s="56">
        <f>CQ26-(CE38+BT25)</f>
        <v>27261617556.550003</v>
      </c>
      <c r="CR27" s="2">
        <v>38.352499999999999</v>
      </c>
      <c r="CS27" s="91">
        <f t="shared" ref="CS27:CS29" si="139">CQ27*CO$38</f>
        <v>27534.233732115506</v>
      </c>
      <c r="CT27" s="91">
        <f t="shared" ref="CT27:CT29" si="140">CQ27*CR27*CO$37</f>
        <v>41.463123545795568</v>
      </c>
      <c r="CU27" s="91">
        <f t="shared" ref="CU27:CU29" si="141">SUM(CS27:CT27)*0.000000000001</f>
        <v>2.7575696855661302E-8</v>
      </c>
      <c r="CV27" s="91">
        <f t="shared" ref="CV27:CV29" si="142">CQ27*CO$39*0.000000000001</f>
        <v>2.334239202301679E-7</v>
      </c>
      <c r="CW27" s="56">
        <f>CV27-CU27</f>
        <v>2.0584822337450661E-7</v>
      </c>
    </row>
    <row r="28" spans="1:101" x14ac:dyDescent="0.35">
      <c r="B28" s="1" t="s">
        <v>27</v>
      </c>
      <c r="F28" s="56">
        <f t="shared" ref="F28:G28" si="143">SUM(F26:F27)</f>
        <v>5211.9239979000004</v>
      </c>
      <c r="G28" s="56">
        <f t="shared" si="143"/>
        <v>311.99842123773931</v>
      </c>
      <c r="H28" s="56">
        <f>SUM(H26:H27)</f>
        <v>5.5239224191377396E-9</v>
      </c>
      <c r="I28" s="56">
        <f>SUM(I26:I27)</f>
        <v>4.9889633028074741E-9</v>
      </c>
      <c r="J28" s="56">
        <f>I28-H28</f>
        <v>-5.3495911633026552E-10</v>
      </c>
      <c r="K28" s="56"/>
      <c r="M28" s="55" t="s">
        <v>17</v>
      </c>
      <c r="N28" s="55">
        <v>69396.2</v>
      </c>
      <c r="O28" s="56">
        <v>1299080000</v>
      </c>
      <c r="P28" s="55">
        <v>10024.9</v>
      </c>
      <c r="Q28" s="56">
        <f>O28*$M$49</f>
        <v>1312.0708000000002</v>
      </c>
      <c r="R28" s="56">
        <f>O28*P28*$M$48</f>
        <v>516.45520886039344</v>
      </c>
      <c r="S28" s="56">
        <f>SUM(Q28:R28)*0.000000000001</f>
        <v>1.8285260088603936E-9</v>
      </c>
      <c r="T28" s="56">
        <f>O28*$M$50*0.000000000001</f>
        <v>2.0500222439751409E-9</v>
      </c>
      <c r="W28" s="55" t="s">
        <v>47</v>
      </c>
      <c r="Y28" s="55" t="s">
        <v>1</v>
      </c>
      <c r="Z28" s="55">
        <v>1147760.8400000008</v>
      </c>
      <c r="AA28" s="56">
        <v>27261617556.550003</v>
      </c>
      <c r="AB28" s="2">
        <v>3240</v>
      </c>
      <c r="AC28" s="56">
        <f t="shared" ref="AC28:AC29" si="144">AA28*$Y$38</f>
        <v>27534.233732115506</v>
      </c>
      <c r="AD28" s="56">
        <f t="shared" ref="AD28:AD29" si="145">AA28*AB28*$Y$37</f>
        <v>3502.7839199107657</v>
      </c>
      <c r="AE28" s="56">
        <f t="shared" ref="AE28:AE29" si="146">SUM(AC28:AD28)*0.000000000001</f>
        <v>3.1037017652026273E-8</v>
      </c>
      <c r="AF28" s="56">
        <f t="shared" ref="AF28:AF29" si="147">AA28*$Y$39*0.000000000001</f>
        <v>8.4972311535795659E-8</v>
      </c>
      <c r="AG28" s="56">
        <f t="shared" ref="AG28:AG29" si="148">AF28-AE28</f>
        <v>5.3935293883769385E-8</v>
      </c>
      <c r="AH28" s="10"/>
      <c r="AJ28" s="1" t="s">
        <v>27</v>
      </c>
      <c r="AN28" s="56">
        <f t="shared" ref="AN28:AO28" si="149">SUM(AN26:AN27)</f>
        <v>5211.9239979000004</v>
      </c>
      <c r="AO28" s="56">
        <f t="shared" si="149"/>
        <v>311.99842123773931</v>
      </c>
      <c r="AP28" s="56">
        <f>SUM(AP26:AP27)</f>
        <v>5.5239224191377396E-9</v>
      </c>
      <c r="AQ28" s="56">
        <f>SUM(AQ26:AQ27)</f>
        <v>2.1297183207642437E-9</v>
      </c>
      <c r="AR28" s="56">
        <f>AQ28-AP28</f>
        <v>-3.3942040983734959E-9</v>
      </c>
      <c r="AS28" s="56"/>
      <c r="AU28" s="55" t="s">
        <v>17</v>
      </c>
      <c r="AV28" s="55">
        <v>69396.2</v>
      </c>
      <c r="AW28" s="56">
        <v>1299080000</v>
      </c>
      <c r="AX28" s="55">
        <v>10024.9</v>
      </c>
      <c r="AY28" s="91">
        <f t="shared" ref="AY28:AY31" si="150">AW28*AU$49</f>
        <v>1312.0708000000002</v>
      </c>
      <c r="AZ28" s="91">
        <f t="shared" ref="AZ28:AZ31" si="151">AW28*AX28*AU$48</f>
        <v>516.45520886039344</v>
      </c>
      <c r="BA28" s="91">
        <f t="shared" ref="BA28:BA31" si="152">SUM(AY28:AZ28)*0.000000000001</f>
        <v>1.8285260088603936E-9</v>
      </c>
      <c r="BB28" s="91">
        <f t="shared" ref="BB28:BB31" si="153">AW28*AU$50*0.000000000001</f>
        <v>7.3522605781801994E-10</v>
      </c>
      <c r="BE28" s="55" t="s">
        <v>47</v>
      </c>
      <c r="BG28" s="55" t="s">
        <v>1</v>
      </c>
      <c r="BH28" s="55">
        <v>1147760.8400000008</v>
      </c>
      <c r="BI28" s="56">
        <v>27261617556.550003</v>
      </c>
      <c r="BJ28" s="2">
        <v>3240</v>
      </c>
      <c r="BK28" s="91">
        <f t="shared" si="135"/>
        <v>27534.233732115506</v>
      </c>
      <c r="BL28" s="91">
        <f t="shared" si="136"/>
        <v>3502.7839199107657</v>
      </c>
      <c r="BM28" s="91">
        <f t="shared" si="137"/>
        <v>3.1037017652026273E-8</v>
      </c>
      <c r="BN28" s="91">
        <f t="shared" si="138"/>
        <v>3.4504526695018827E-8</v>
      </c>
      <c r="BO28" s="56">
        <f t="shared" ref="BO28:BO29" si="154">BN28-BM28</f>
        <v>3.4675090429925542E-9</v>
      </c>
      <c r="BP28" s="10"/>
      <c r="BR28" s="1" t="s">
        <v>27</v>
      </c>
      <c r="BV28" s="56">
        <f t="shared" ref="BV28:BW28" si="155">SUM(BV26:BV27)</f>
        <v>5211.9239979000004</v>
      </c>
      <c r="BW28" s="56">
        <f t="shared" si="155"/>
        <v>311.99842123773931</v>
      </c>
      <c r="BX28" s="56">
        <f>SUM(BX26:BX27)</f>
        <v>5.5239224191377396E-9</v>
      </c>
      <c r="BY28" s="56">
        <f>SUM(BY26:BY27)</f>
        <v>1.3992644532914364E-8</v>
      </c>
      <c r="BZ28" s="56">
        <f>BY28-BX28</f>
        <v>8.468722113776624E-9</v>
      </c>
      <c r="CA28" s="56"/>
      <c r="CC28" s="55" t="s">
        <v>17</v>
      </c>
      <c r="CD28" s="55">
        <v>69396.2</v>
      </c>
      <c r="CE28" s="56">
        <v>1299080000</v>
      </c>
      <c r="CF28" s="55">
        <v>10024.9</v>
      </c>
      <c r="CG28" s="91">
        <f t="shared" ref="CG28:CG31" si="156">CE28*CC$49</f>
        <v>1312.0708000000002</v>
      </c>
      <c r="CH28" s="91">
        <f t="shared" ref="CH28:CH31" si="157">CE28*CF28*CC$48</f>
        <v>516.45520886039344</v>
      </c>
      <c r="CI28" s="91">
        <f t="shared" ref="CI28:CI31" si="158">SUM(CG28:CH28)*0.000000000001</f>
        <v>1.8285260088603936E-9</v>
      </c>
      <c r="CJ28" s="91">
        <f t="shared" ref="CJ28:CJ31" si="159">CE28*CC$50*0.000000000001</f>
        <v>6.8041531875987371E-9</v>
      </c>
      <c r="CM28" s="55" t="s">
        <v>47</v>
      </c>
      <c r="CO28" s="55" t="s">
        <v>1</v>
      </c>
      <c r="CP28" s="55">
        <v>1147760.8400000008</v>
      </c>
      <c r="CQ28" s="56">
        <v>27261617556.550003</v>
      </c>
      <c r="CR28" s="2">
        <v>3240</v>
      </c>
      <c r="CS28" s="91">
        <f t="shared" si="139"/>
        <v>27534.233732115506</v>
      </c>
      <c r="CT28" s="91">
        <f t="shared" si="140"/>
        <v>3502.7839199107657</v>
      </c>
      <c r="CU28" s="91">
        <f t="shared" si="141"/>
        <v>3.1037017652026273E-8</v>
      </c>
      <c r="CV28" s="91">
        <f t="shared" si="142"/>
        <v>2.334239202301679E-7</v>
      </c>
      <c r="CW28" s="56">
        <f t="shared" ref="CW28:CW29" si="160">CV28-CU28</f>
        <v>2.0238690257814164E-7</v>
      </c>
    </row>
    <row r="29" spans="1:101" x14ac:dyDescent="0.35">
      <c r="D29" s="3"/>
      <c r="M29" s="55" t="s">
        <v>16</v>
      </c>
      <c r="N29" s="55">
        <v>53119.7</v>
      </c>
      <c r="O29" s="56">
        <v>1329750000</v>
      </c>
      <c r="P29" s="55">
        <v>4900.57</v>
      </c>
      <c r="Q29" s="56">
        <f t="shared" ref="Q29:Q31" si="161">O29*$M$49</f>
        <v>1343.0475000000001</v>
      </c>
      <c r="R29" s="56">
        <f t="shared" ref="R29:R31" si="162">O29*P29*$M$48</f>
        <v>258.42427838956792</v>
      </c>
      <c r="S29" s="56">
        <f t="shared" ref="S29:S31" si="163">SUM(Q29:R29)*0.000000000001</f>
        <v>1.601471778389568E-9</v>
      </c>
      <c r="T29" s="56">
        <f t="shared" ref="T29:T31" si="164">O29*$M$50*0.000000000001</f>
        <v>2.0984212511361453E-9</v>
      </c>
      <c r="W29" s="55" t="s">
        <v>43</v>
      </c>
      <c r="Y29" s="55" t="s">
        <v>1</v>
      </c>
      <c r="Z29" s="55">
        <v>1147760.8400000008</v>
      </c>
      <c r="AA29" s="56">
        <v>27261617556.550003</v>
      </c>
      <c r="AB29" s="55">
        <v>19095.3</v>
      </c>
      <c r="AC29" s="56">
        <f t="shared" si="144"/>
        <v>27534.233732115506</v>
      </c>
      <c r="AD29" s="56">
        <f t="shared" si="145"/>
        <v>20644.046230207419</v>
      </c>
      <c r="AE29" s="56">
        <f t="shared" si="146"/>
        <v>4.8178279962322922E-8</v>
      </c>
      <c r="AF29" s="56">
        <f t="shared" si="147"/>
        <v>8.4972311535795659E-8</v>
      </c>
      <c r="AG29" s="56">
        <f t="shared" si="148"/>
        <v>3.6794031573472737E-8</v>
      </c>
      <c r="AH29" s="10"/>
      <c r="AL29" s="3"/>
      <c r="AU29" s="55" t="s">
        <v>16</v>
      </c>
      <c r="AV29" s="55">
        <v>53119.7</v>
      </c>
      <c r="AW29" s="56">
        <v>1329750000</v>
      </c>
      <c r="AX29" s="55">
        <v>4900.57</v>
      </c>
      <c r="AY29" s="91">
        <f t="shared" si="150"/>
        <v>1343.0475000000001</v>
      </c>
      <c r="AZ29" s="91">
        <f t="shared" si="151"/>
        <v>258.42427838956792</v>
      </c>
      <c r="BA29" s="91">
        <f t="shared" si="152"/>
        <v>1.601471778389568E-9</v>
      </c>
      <c r="BB29" s="91">
        <f t="shared" si="153"/>
        <v>7.5258402129469474E-10</v>
      </c>
      <c r="BE29" s="55" t="s">
        <v>43</v>
      </c>
      <c r="BG29" s="55" t="s">
        <v>1</v>
      </c>
      <c r="BH29" s="55">
        <v>1147760.8400000008</v>
      </c>
      <c r="BI29" s="56">
        <v>27261617556.550003</v>
      </c>
      <c r="BJ29" s="55">
        <v>19095.3</v>
      </c>
      <c r="BK29" s="91">
        <f t="shared" si="135"/>
        <v>27534.233732115506</v>
      </c>
      <c r="BL29" s="91">
        <f t="shared" si="136"/>
        <v>20644.046230207419</v>
      </c>
      <c r="BM29" s="91">
        <f t="shared" si="137"/>
        <v>4.8178279962322922E-8</v>
      </c>
      <c r="BN29" s="91">
        <f t="shared" si="138"/>
        <v>3.4504526695018827E-8</v>
      </c>
      <c r="BO29" s="56">
        <f t="shared" si="154"/>
        <v>-1.3673753267304094E-8</v>
      </c>
      <c r="BP29" s="10"/>
      <c r="BT29" s="3"/>
      <c r="CC29" s="55" t="s">
        <v>16</v>
      </c>
      <c r="CD29" s="55">
        <v>53119.7</v>
      </c>
      <c r="CE29" s="56">
        <v>1329750000</v>
      </c>
      <c r="CF29" s="55">
        <v>4900.57</v>
      </c>
      <c r="CG29" s="91">
        <f t="shared" si="156"/>
        <v>1343.0475000000001</v>
      </c>
      <c r="CH29" s="91">
        <f t="shared" si="157"/>
        <v>258.42427838956792</v>
      </c>
      <c r="CI29" s="91">
        <f t="shared" si="158"/>
        <v>1.601471778389568E-9</v>
      </c>
      <c r="CJ29" s="91">
        <f t="shared" si="159"/>
        <v>6.9647925464247168E-9</v>
      </c>
      <c r="CM29" s="55" t="s">
        <v>43</v>
      </c>
      <c r="CO29" s="55" t="s">
        <v>1</v>
      </c>
      <c r="CP29" s="55">
        <v>1147760.8400000008</v>
      </c>
      <c r="CQ29" s="56">
        <v>27261617556.550003</v>
      </c>
      <c r="CR29" s="55">
        <v>19095.3</v>
      </c>
      <c r="CS29" s="91">
        <f t="shared" si="139"/>
        <v>27534.233732115506</v>
      </c>
      <c r="CT29" s="91">
        <f t="shared" si="140"/>
        <v>20644.046230207419</v>
      </c>
      <c r="CU29" s="91">
        <f t="shared" si="141"/>
        <v>4.8178279962322922E-8</v>
      </c>
      <c r="CV29" s="91">
        <f t="shared" si="142"/>
        <v>2.334239202301679E-7</v>
      </c>
      <c r="CW29" s="56">
        <f t="shared" si="160"/>
        <v>1.8524564026784498E-7</v>
      </c>
    </row>
    <row r="30" spans="1:101" x14ac:dyDescent="0.35">
      <c r="D30" s="3"/>
      <c r="E30" s="104" t="s">
        <v>49</v>
      </c>
      <c r="F30" s="1" t="s">
        <v>55</v>
      </c>
      <c r="G30" s="1" t="s">
        <v>56</v>
      </c>
      <c r="H30" s="1" t="s">
        <v>57</v>
      </c>
      <c r="I30" s="1" t="s">
        <v>57</v>
      </c>
      <c r="J30" s="19" t="s">
        <v>58</v>
      </c>
      <c r="M30" s="55" t="s">
        <v>18</v>
      </c>
      <c r="N30" s="55">
        <v>29785.43</v>
      </c>
      <c r="O30" s="56">
        <v>701646000</v>
      </c>
      <c r="P30" s="55">
        <v>4511.93</v>
      </c>
      <c r="Q30" s="56">
        <f t="shared" si="161"/>
        <v>708.66246000000001</v>
      </c>
      <c r="R30" s="56">
        <f t="shared" si="162"/>
        <v>125.54433571691226</v>
      </c>
      <c r="S30" s="56">
        <f t="shared" si="163"/>
        <v>8.3420679571691221E-10</v>
      </c>
      <c r="T30" s="56">
        <f t="shared" si="164"/>
        <v>1.1072373582813851E-9</v>
      </c>
      <c r="AL30" s="3"/>
      <c r="AM30" s="104" t="s">
        <v>49</v>
      </c>
      <c r="AN30" s="1" t="s">
        <v>55</v>
      </c>
      <c r="AO30" s="1" t="s">
        <v>56</v>
      </c>
      <c r="AP30" s="1" t="s">
        <v>57</v>
      </c>
      <c r="AQ30" s="1" t="s">
        <v>57</v>
      </c>
      <c r="AR30" s="19" t="s">
        <v>58</v>
      </c>
      <c r="AU30" s="55" t="s">
        <v>18</v>
      </c>
      <c r="AV30" s="55">
        <v>29785.43</v>
      </c>
      <c r="AW30" s="56">
        <v>701646000</v>
      </c>
      <c r="AX30" s="55">
        <v>4511.93</v>
      </c>
      <c r="AY30" s="91">
        <f t="shared" si="150"/>
        <v>708.66246000000001</v>
      </c>
      <c r="AZ30" s="91">
        <f t="shared" si="151"/>
        <v>125.54433571691226</v>
      </c>
      <c r="BA30" s="91">
        <f t="shared" si="152"/>
        <v>8.3420679571691221E-10</v>
      </c>
      <c r="BB30" s="91">
        <f t="shared" si="153"/>
        <v>3.9710289017133853E-10</v>
      </c>
      <c r="BT30" s="3"/>
      <c r="BU30" s="104" t="s">
        <v>49</v>
      </c>
      <c r="BV30" s="1" t="s">
        <v>55</v>
      </c>
      <c r="BW30" s="1" t="s">
        <v>56</v>
      </c>
      <c r="BX30" s="1" t="s">
        <v>57</v>
      </c>
      <c r="BY30" s="1" t="s">
        <v>57</v>
      </c>
      <c r="BZ30" s="19" t="s">
        <v>58</v>
      </c>
      <c r="CC30" s="55" t="s">
        <v>18</v>
      </c>
      <c r="CD30" s="55">
        <v>29785.43</v>
      </c>
      <c r="CE30" s="56">
        <v>701646000</v>
      </c>
      <c r="CF30" s="55">
        <v>4511.93</v>
      </c>
      <c r="CG30" s="91">
        <f t="shared" si="156"/>
        <v>708.66246000000001</v>
      </c>
      <c r="CH30" s="91">
        <f t="shared" si="157"/>
        <v>125.54433571691226</v>
      </c>
      <c r="CI30" s="91">
        <f t="shared" si="158"/>
        <v>8.3420679571691221E-10</v>
      </c>
      <c r="CJ30" s="91">
        <f t="shared" si="159"/>
        <v>3.6749906606720937E-9</v>
      </c>
    </row>
    <row r="31" spans="1:101" ht="16.5" x14ac:dyDescent="0.45">
      <c r="A31" s="3" t="s">
        <v>48</v>
      </c>
      <c r="B31" s="56">
        <f>36100000*0.000000001</f>
        <v>3.61E-2</v>
      </c>
      <c r="C31" s="56">
        <f>((I8-H8)/B31)*100</f>
        <v>-1.8449757094995157E-6</v>
      </c>
      <c r="E31" s="104"/>
      <c r="F31" s="1" t="s">
        <v>42</v>
      </c>
      <c r="G31" s="1" t="s">
        <v>42</v>
      </c>
      <c r="H31" s="1" t="s">
        <v>42</v>
      </c>
      <c r="I31" s="1" t="s">
        <v>42</v>
      </c>
      <c r="J31" s="1" t="s">
        <v>42</v>
      </c>
      <c r="M31" s="55" t="s">
        <v>19</v>
      </c>
      <c r="N31" s="55">
        <v>4713.3500000000004</v>
      </c>
      <c r="O31" s="56">
        <v>71066200</v>
      </c>
      <c r="P31" s="55">
        <v>13389.8</v>
      </c>
      <c r="Q31" s="56">
        <f t="shared" si="161"/>
        <v>71.776862000000008</v>
      </c>
      <c r="R31" s="56">
        <f t="shared" si="162"/>
        <v>37.735829422127075</v>
      </c>
      <c r="S31" s="56">
        <f t="shared" si="163"/>
        <v>1.0951269142212708E-10</v>
      </c>
      <c r="T31" s="56">
        <f t="shared" si="164"/>
        <v>1.1214651198908932E-10</v>
      </c>
      <c r="AB31" s="105" t="s">
        <v>50</v>
      </c>
      <c r="AC31" s="1" t="s">
        <v>55</v>
      </c>
      <c r="AD31" s="1" t="s">
        <v>56</v>
      </c>
      <c r="AE31" s="1" t="s">
        <v>57</v>
      </c>
      <c r="AF31" s="1" t="s">
        <v>57</v>
      </c>
      <c r="AG31" s="19" t="s">
        <v>58</v>
      </c>
      <c r="AH31" s="27"/>
      <c r="AI31" s="3" t="s">
        <v>48</v>
      </c>
      <c r="AJ31" s="56">
        <f>36100000*0.000000001</f>
        <v>3.61E-2</v>
      </c>
      <c r="AK31" s="56">
        <f>((AQ8-AP8)/AJ31)*100</f>
        <v>-1.1712188051100368E-5</v>
      </c>
      <c r="AM31" s="104"/>
      <c r="AN31" s="1" t="s">
        <v>42</v>
      </c>
      <c r="AO31" s="1" t="s">
        <v>42</v>
      </c>
      <c r="AP31" s="1" t="s">
        <v>42</v>
      </c>
      <c r="AQ31" s="1" t="s">
        <v>42</v>
      </c>
      <c r="AR31" s="1" t="s">
        <v>42</v>
      </c>
      <c r="AU31" s="55" t="s">
        <v>19</v>
      </c>
      <c r="AV31" s="55">
        <v>4713.3500000000004</v>
      </c>
      <c r="AW31" s="56">
        <v>71066200</v>
      </c>
      <c r="AX31" s="55">
        <v>13389.8</v>
      </c>
      <c r="AY31" s="91">
        <f t="shared" si="150"/>
        <v>71.776862000000008</v>
      </c>
      <c r="AZ31" s="91">
        <f t="shared" si="151"/>
        <v>37.735829422127075</v>
      </c>
      <c r="BA31" s="91">
        <f t="shared" si="152"/>
        <v>1.0951269142212708E-10</v>
      </c>
      <c r="BB31" s="91">
        <f t="shared" si="153"/>
        <v>4.0220557679363059E-11</v>
      </c>
      <c r="BJ31" s="105" t="s">
        <v>50</v>
      </c>
      <c r="BK31" s="1" t="s">
        <v>55</v>
      </c>
      <c r="BL31" s="1" t="s">
        <v>56</v>
      </c>
      <c r="BM31" s="1" t="s">
        <v>57</v>
      </c>
      <c r="BN31" s="1" t="s">
        <v>57</v>
      </c>
      <c r="BO31" s="19" t="s">
        <v>58</v>
      </c>
      <c r="BP31" s="27"/>
      <c r="BQ31" s="3" t="s">
        <v>48</v>
      </c>
      <c r="BR31" s="56">
        <f>36100000*0.000000001</f>
        <v>3.61E-2</v>
      </c>
      <c r="BS31" s="56">
        <f>((BY8-BX8)/BR31)*100</f>
        <v>2.9226595670880857E-5</v>
      </c>
      <c r="BU31" s="104"/>
      <c r="BV31" s="1" t="s">
        <v>42</v>
      </c>
      <c r="BW31" s="1" t="s">
        <v>42</v>
      </c>
      <c r="BX31" s="1" t="s">
        <v>42</v>
      </c>
      <c r="BY31" s="1" t="s">
        <v>42</v>
      </c>
      <c r="BZ31" s="1" t="s">
        <v>42</v>
      </c>
      <c r="CC31" s="55" t="s">
        <v>19</v>
      </c>
      <c r="CD31" s="55">
        <v>4713.3500000000004</v>
      </c>
      <c r="CE31" s="56">
        <v>71066200</v>
      </c>
      <c r="CF31" s="55">
        <v>13389.8</v>
      </c>
      <c r="CG31" s="91">
        <f t="shared" si="156"/>
        <v>71.776862000000008</v>
      </c>
      <c r="CH31" s="91">
        <f t="shared" si="157"/>
        <v>37.735829422127075</v>
      </c>
      <c r="CI31" s="91">
        <f t="shared" si="158"/>
        <v>1.0951269142212708E-10</v>
      </c>
      <c r="CJ31" s="91">
        <f t="shared" si="159"/>
        <v>3.722213499249695E-10</v>
      </c>
      <c r="CR31" s="105" t="s">
        <v>50</v>
      </c>
      <c r="CS31" s="1" t="s">
        <v>55</v>
      </c>
      <c r="CT31" s="1" t="s">
        <v>56</v>
      </c>
      <c r="CU31" s="1" t="s">
        <v>57</v>
      </c>
      <c r="CV31" s="1" t="s">
        <v>57</v>
      </c>
      <c r="CW31" s="19" t="s">
        <v>58</v>
      </c>
    </row>
    <row r="32" spans="1:101" ht="14.5" customHeight="1" x14ac:dyDescent="0.35">
      <c r="D32" s="3"/>
      <c r="E32" s="104"/>
      <c r="F32" s="56">
        <f>MIN(F8,F12,F16,F20,F24,F28)</f>
        <v>4129.9192899999998</v>
      </c>
      <c r="G32" s="56">
        <f>MIN(G8,G12,G16,G20,G24,G28)</f>
        <v>248.10948621426138</v>
      </c>
      <c r="H32" s="56">
        <f>MIN(H8,H12,H16,H20,H24,H28)</f>
        <v>4.3780287762142615E-9</v>
      </c>
      <c r="I32" s="56">
        <f>MIN(I8,I12,I16,I20,I24,I28)</f>
        <v>3.9532456324513778E-9</v>
      </c>
      <c r="J32" s="56">
        <f>MIN(J8,J12,J16,J20,J24,J28)</f>
        <v>-6.6603623112932515E-10</v>
      </c>
      <c r="K32" s="56"/>
      <c r="M32" s="1" t="s">
        <v>27</v>
      </c>
      <c r="O32" s="56"/>
      <c r="Q32" s="56">
        <f>SUM(Q28:Q31)</f>
        <v>3435.5576220000003</v>
      </c>
      <c r="R32" s="56">
        <f t="shared" ref="R32:T32" si="165">SUM(R28:R31)</f>
        <v>938.1596523890006</v>
      </c>
      <c r="S32" s="56">
        <f t="shared" si="165"/>
        <v>4.373717274389001E-9</v>
      </c>
      <c r="T32" s="56">
        <f t="shared" si="165"/>
        <v>5.3678273653817602E-9</v>
      </c>
      <c r="U32" s="56">
        <f>T32-S32</f>
        <v>9.941100909927592E-10</v>
      </c>
      <c r="V32" s="56"/>
      <c r="AB32" s="105"/>
      <c r="AC32" s="1" t="s">
        <v>42</v>
      </c>
      <c r="AD32" s="1" t="s">
        <v>42</v>
      </c>
      <c r="AE32" s="1" t="s">
        <v>42</v>
      </c>
      <c r="AF32" s="1" t="s">
        <v>42</v>
      </c>
      <c r="AG32" s="1" t="s">
        <v>42</v>
      </c>
      <c r="AH32" s="28"/>
      <c r="AL32" s="3"/>
      <c r="AM32" s="104"/>
      <c r="AN32" s="56">
        <f>MIN(AN8,AN12,AN16,AN20,AN24,AN28)</f>
        <v>4129.9192899999998</v>
      </c>
      <c r="AO32" s="56">
        <f>MIN(AO8,AO12,AO16,AO20,AO24,AO28)</f>
        <v>248.10948621426138</v>
      </c>
      <c r="AP32" s="56">
        <f>MIN(AP8,AP12,AP16,AP20,AP24,AP28)</f>
        <v>4.3780287762142615E-9</v>
      </c>
      <c r="AQ32" s="56">
        <f>MIN(AQ8,AQ12,AQ16,AQ20,AQ24,AQ28)</f>
        <v>1.6875850029153507E-9</v>
      </c>
      <c r="AR32" s="56">
        <f>MIN(AR8,AR12,AR16,AR20,AR24,AR28)</f>
        <v>-4.2280998864472332E-9</v>
      </c>
      <c r="AS32" s="56"/>
      <c r="AU32" s="1" t="s">
        <v>27</v>
      </c>
      <c r="AW32" s="56"/>
      <c r="AY32" s="56">
        <f>SUM(AY28:AY31)</f>
        <v>3435.5576220000003</v>
      </c>
      <c r="AZ32" s="56">
        <f t="shared" ref="AZ32:BB32" si="166">SUM(AZ28:AZ31)</f>
        <v>938.1596523890006</v>
      </c>
      <c r="BA32" s="56">
        <f t="shared" si="166"/>
        <v>4.373717274389001E-9</v>
      </c>
      <c r="BB32" s="56">
        <f t="shared" si="166"/>
        <v>1.9251335269634164E-9</v>
      </c>
      <c r="BC32" s="56">
        <f>BB32-BA32</f>
        <v>-2.4485837474255846E-9</v>
      </c>
      <c r="BD32" s="56"/>
      <c r="BJ32" s="105"/>
      <c r="BK32" s="1" t="s">
        <v>42</v>
      </c>
      <c r="BL32" s="1" t="s">
        <v>42</v>
      </c>
      <c r="BM32" s="1" t="s">
        <v>42</v>
      </c>
      <c r="BN32" s="1" t="s">
        <v>42</v>
      </c>
      <c r="BO32" s="1" t="s">
        <v>42</v>
      </c>
      <c r="BP32" s="28"/>
      <c r="BT32" s="3"/>
      <c r="BU32" s="104"/>
      <c r="BV32" s="56">
        <f>MIN(BV8,BV12,BV16,BV20,BV24,BV28)</f>
        <v>4129.9192899999998</v>
      </c>
      <c r="BW32" s="56">
        <f>MIN(BW8,BW12,BW16,BW20,BW24,BW28)</f>
        <v>248.10948621426138</v>
      </c>
      <c r="BX32" s="56">
        <f>MIN(BX8,BX12,BX16,BX20,BX24,BX28)</f>
        <v>4.3780287762142615E-9</v>
      </c>
      <c r="BY32" s="56">
        <f>MIN(BY8,BY12,BY16,BY20,BY24,BY28)</f>
        <v>1.1087746597586676E-8</v>
      </c>
      <c r="BZ32" s="56">
        <f>MIN(BZ8,BZ12,BZ16,BZ20,BZ24,BZ28)</f>
        <v>6.7097178213724143E-9</v>
      </c>
      <c r="CA32" s="56"/>
      <c r="CC32" s="1" t="s">
        <v>27</v>
      </c>
      <c r="CE32" s="56"/>
      <c r="CG32" s="56">
        <f>SUM(CG28:CG31)</f>
        <v>3435.5576220000003</v>
      </c>
      <c r="CH32" s="56">
        <f t="shared" ref="CH32:CJ32" si="167">SUM(CH28:CH31)</f>
        <v>938.1596523890006</v>
      </c>
      <c r="CI32" s="56">
        <f t="shared" si="167"/>
        <v>4.373717274389001E-9</v>
      </c>
      <c r="CJ32" s="56">
        <f t="shared" si="167"/>
        <v>1.7816157744620519E-8</v>
      </c>
      <c r="CK32" s="56">
        <f>CJ32-CI32</f>
        <v>1.3442440470231519E-8</v>
      </c>
      <c r="CL32" s="56"/>
      <c r="CR32" s="105"/>
      <c r="CS32" s="1" t="s">
        <v>42</v>
      </c>
      <c r="CT32" s="1" t="s">
        <v>42</v>
      </c>
      <c r="CU32" s="1" t="s">
        <v>42</v>
      </c>
      <c r="CV32" s="1" t="s">
        <v>42</v>
      </c>
      <c r="CW32" s="1" t="s">
        <v>42</v>
      </c>
    </row>
    <row r="33" spans="1:102" x14ac:dyDescent="0.35">
      <c r="D33" s="3"/>
      <c r="E33" s="104"/>
      <c r="F33" s="1" t="s">
        <v>41</v>
      </c>
      <c r="G33" s="1" t="s">
        <v>41</v>
      </c>
      <c r="H33" s="1" t="s">
        <v>41</v>
      </c>
      <c r="I33" s="1" t="s">
        <v>41</v>
      </c>
      <c r="J33" s="1" t="s">
        <v>41</v>
      </c>
      <c r="L33" s="55">
        <v>2020</v>
      </c>
      <c r="M33" s="55" t="s">
        <v>22</v>
      </c>
      <c r="N33" s="55">
        <v>139132.1</v>
      </c>
      <c r="O33" s="56">
        <v>3396870000</v>
      </c>
      <c r="AB33" s="105"/>
      <c r="AC33" s="56">
        <f>MIN(AC6:AC8,AC10:AC12,AC14:AC16,AC18:AC20,AC23:AC25,AC27:AC29)</f>
        <v>15721.823196810004</v>
      </c>
      <c r="AD33" s="67">
        <f t="shared" ref="AD33:AG33" si="168">MIN(AD6:AD8,AD10:AD12,AD14:AD16,AD18:AD20,AD23:AD25,AD27:AD29)</f>
        <v>23.675105830679058</v>
      </c>
      <c r="AE33" s="67">
        <f t="shared" si="168"/>
        <v>1.5745498302640683E-8</v>
      </c>
      <c r="AF33" s="67">
        <f t="shared" si="168"/>
        <v>4.8518497793960484E-8</v>
      </c>
      <c r="AG33" s="67">
        <f t="shared" si="168"/>
        <v>2.1009092343879745E-8</v>
      </c>
      <c r="AL33" s="3"/>
      <c r="AM33" s="104"/>
      <c r="AN33" s="1" t="s">
        <v>41</v>
      </c>
      <c r="AO33" s="1" t="s">
        <v>41</v>
      </c>
      <c r="AP33" s="1" t="s">
        <v>41</v>
      </c>
      <c r="AQ33" s="1" t="s">
        <v>41</v>
      </c>
      <c r="AR33" s="1" t="s">
        <v>41</v>
      </c>
      <c r="AT33" s="55">
        <v>2020</v>
      </c>
      <c r="AU33" s="55" t="s">
        <v>22</v>
      </c>
      <c r="AV33" s="55">
        <v>139132.1</v>
      </c>
      <c r="AW33" s="56">
        <v>3396870000</v>
      </c>
      <c r="BJ33" s="105"/>
      <c r="BK33" s="56">
        <f>MIN(BK6:BK7,BK10:BK11,BK14:BK15,BK18:BK19,BK23:BK24,BK27:BK28)</f>
        <v>15721.823196810004</v>
      </c>
      <c r="BL33" s="91">
        <f t="shared" ref="BL33:BO33" si="169">MIN(BL6:BL7,BL10:BL11,BL14:BL15,BL18:BL19,BL23:BL24,BL27:BL28)</f>
        <v>23.675105830679058</v>
      </c>
      <c r="BM33" s="91">
        <f t="shared" si="169"/>
        <v>1.5745498302640683E-8</v>
      </c>
      <c r="BN33" s="91">
        <f t="shared" si="169"/>
        <v>1.9701803706124705E-8</v>
      </c>
      <c r="BO33" s="91">
        <f t="shared" si="169"/>
        <v>1.9799194209527886E-9</v>
      </c>
      <c r="BT33" s="3"/>
      <c r="BU33" s="104"/>
      <c r="BV33" s="1" t="s">
        <v>41</v>
      </c>
      <c r="BW33" s="1" t="s">
        <v>41</v>
      </c>
      <c r="BX33" s="1" t="s">
        <v>41</v>
      </c>
      <c r="BY33" s="1" t="s">
        <v>41</v>
      </c>
      <c r="BZ33" s="1" t="s">
        <v>41</v>
      </c>
      <c r="CB33" s="55">
        <v>2020</v>
      </c>
      <c r="CC33" s="55" t="s">
        <v>22</v>
      </c>
      <c r="CD33" s="55">
        <v>139132.1</v>
      </c>
      <c r="CE33" s="56">
        <v>3396870000</v>
      </c>
      <c r="CR33" s="105"/>
      <c r="CS33" s="56">
        <f>MIN(CS6:CS8,CS10:CS12,CS14:CS16,CS18:CS20,CS23:CS25,CS27:CS29)</f>
        <v>15721.823196810004</v>
      </c>
      <c r="CT33" s="67">
        <f t="shared" ref="CT33:CW33" si="170">MIN(CT6:CT8,CT10:CT12,CT14:CT16,CT18:CT20,CT23:CT25,CT27:CT29)</f>
        <v>23.675105830679058</v>
      </c>
      <c r="CU33" s="67">
        <f t="shared" si="170"/>
        <v>1.5745498302640683E-8</v>
      </c>
      <c r="CV33" s="67">
        <f t="shared" si="170"/>
        <v>1.3328315723144768E-7</v>
      </c>
      <c r="CW33" s="67">
        <f t="shared" si="170"/>
        <v>1.0577375178136694E-7</v>
      </c>
    </row>
    <row r="34" spans="1:102" x14ac:dyDescent="0.35">
      <c r="A34" s="55" t="s">
        <v>36</v>
      </c>
      <c r="B34" s="55" t="s">
        <v>39</v>
      </c>
      <c r="C34" s="55" t="s">
        <v>9</v>
      </c>
      <c r="D34" s="3"/>
      <c r="E34" s="104"/>
      <c r="F34" s="56">
        <f>MEDIAN(F8,F12,F16,F20,F24,F28)</f>
        <v>5424.6679789500004</v>
      </c>
      <c r="G34" s="56">
        <f>MEDIAN(G8,G12,G16,G20,G24,G28)</f>
        <v>325.23002898082302</v>
      </c>
      <c r="H34" s="56">
        <f>MEDIAN(H8,H12,H16,H20,H24,H28)</f>
        <v>5.7498980079308232E-9</v>
      </c>
      <c r="I34" s="56">
        <f>MEDIAN(I8,I12,I16,I20,I24,I28)</f>
        <v>5.1926063173217435E-9</v>
      </c>
      <c r="J34" s="56">
        <f>MEDIAN(J8,J12,J16,J20,J24,J28)</f>
        <v>-5.5729169060907969E-10</v>
      </c>
      <c r="K34" s="56"/>
      <c r="M34" s="55" t="s">
        <v>17</v>
      </c>
      <c r="N34" s="55">
        <v>60926.9</v>
      </c>
      <c r="O34" s="56">
        <v>1260650000</v>
      </c>
      <c r="P34" s="55">
        <v>10024.9</v>
      </c>
      <c r="Q34" s="56">
        <f>O34*$M$49</f>
        <v>1273.2565000000002</v>
      </c>
      <c r="R34" s="56">
        <f>O34*P34*$M$48</f>
        <v>501.17718620089215</v>
      </c>
      <c r="S34" s="56">
        <f>SUM(Q34:R34)*0.000000000001</f>
        <v>1.7744336862008921E-9</v>
      </c>
      <c r="T34" s="56">
        <f>O34*$M$50*0.000000000001</f>
        <v>1.9893775147544889E-9</v>
      </c>
      <c r="AB34" s="105"/>
      <c r="AC34" s="1" t="s">
        <v>41</v>
      </c>
      <c r="AD34" s="1" t="s">
        <v>41</v>
      </c>
      <c r="AE34" s="1" t="s">
        <v>41</v>
      </c>
      <c r="AF34" s="1" t="s">
        <v>41</v>
      </c>
      <c r="AG34" s="1" t="s">
        <v>41</v>
      </c>
      <c r="AH34" s="28"/>
      <c r="AI34" s="55" t="s">
        <v>36</v>
      </c>
      <c r="AJ34" s="55" t="s">
        <v>39</v>
      </c>
      <c r="AK34" s="55" t="s">
        <v>9</v>
      </c>
      <c r="AL34" s="3"/>
      <c r="AM34" s="104"/>
      <c r="AN34" s="56">
        <f>MEDIAN(AN8,AN12,AN16,AN20,AN24,AN28)</f>
        <v>5424.6679789500004</v>
      </c>
      <c r="AO34" s="56">
        <f>MEDIAN(AO8,AO12,AO16,AO20,AO24,AO28)</f>
        <v>325.23002898082302</v>
      </c>
      <c r="AP34" s="56">
        <f>MEDIAN(AP8,AP12,AP16,AP20,AP24,AP28)</f>
        <v>5.7498980079308232E-9</v>
      </c>
      <c r="AQ34" s="56">
        <f>MEDIAN(AQ8,AQ12,AQ16,AQ20,AQ24,AQ28)</f>
        <v>2.2166506617302793E-9</v>
      </c>
      <c r="AR34" s="56">
        <f>MEDIAN(AR8,AR12,AR16,AR20,AR24,AR28)</f>
        <v>-3.5332473462005439E-9</v>
      </c>
      <c r="AS34" s="56"/>
      <c r="AU34" s="55" t="s">
        <v>17</v>
      </c>
      <c r="AV34" s="55">
        <v>60926.9</v>
      </c>
      <c r="AW34" s="56">
        <v>1260650000</v>
      </c>
      <c r="AX34" s="55">
        <v>10024.9</v>
      </c>
      <c r="AY34" s="91">
        <f t="shared" ref="AY34:AY36" si="171">AW34*AU$49</f>
        <v>1273.2565000000002</v>
      </c>
      <c r="AZ34" s="91">
        <f t="shared" ref="AZ34:AZ36" si="172">AW34*AX34*AU$48</f>
        <v>501.17718620089215</v>
      </c>
      <c r="BA34" s="91">
        <f t="shared" ref="BA34:BA36" si="173">SUM(AY34:AZ34)*0.000000000001</f>
        <v>1.7744336862008921E-9</v>
      </c>
      <c r="BB34" s="91">
        <f t="shared" ref="BB34:BB36" si="174">AW34*AU$50*0.000000000001</f>
        <v>7.1347625226182131E-10</v>
      </c>
      <c r="BJ34" s="105"/>
      <c r="BK34" s="1" t="s">
        <v>41</v>
      </c>
      <c r="BL34" s="1" t="s">
        <v>41</v>
      </c>
      <c r="BM34" s="1" t="s">
        <v>41</v>
      </c>
      <c r="BN34" s="1" t="s">
        <v>41</v>
      </c>
      <c r="BO34" s="1" t="s">
        <v>41</v>
      </c>
      <c r="BP34" s="28"/>
      <c r="BQ34" s="55" t="s">
        <v>36</v>
      </c>
      <c r="BR34" s="55" t="s">
        <v>39</v>
      </c>
      <c r="BS34" s="55" t="s">
        <v>9</v>
      </c>
      <c r="BT34" s="3"/>
      <c r="BU34" s="104"/>
      <c r="BV34" s="56">
        <f>MEDIAN(BV8,BV12,BV16,BV20,BV24,BV28)</f>
        <v>5424.6679789500004</v>
      </c>
      <c r="BW34" s="56">
        <f>MEDIAN(BW8,BW12,BW16,BW20,BW24,BW28)</f>
        <v>325.23002898082302</v>
      </c>
      <c r="BX34" s="56">
        <f>MEDIAN(BX8,BX12,BX16,BX20,BX24,BX28)</f>
        <v>5.7498980079308232E-9</v>
      </c>
      <c r="BY34" s="56">
        <f>MEDIAN(BY8,BY12,BY16,BY20,BY24,BY28)</f>
        <v>1.4563806143204375E-8</v>
      </c>
      <c r="BZ34" s="56">
        <f>MEDIAN(BZ8,BZ12,BZ16,BZ20,BZ24,BZ28)</f>
        <v>8.8139081352735514E-9</v>
      </c>
      <c r="CA34" s="56"/>
      <c r="CC34" s="55" t="s">
        <v>17</v>
      </c>
      <c r="CD34" s="55">
        <v>60926.9</v>
      </c>
      <c r="CE34" s="56">
        <v>1260650000</v>
      </c>
      <c r="CF34" s="55">
        <v>10024.9</v>
      </c>
      <c r="CG34" s="91">
        <f t="shared" ref="CG34:CG36" si="175">CE34*CC$49</f>
        <v>1273.2565000000002</v>
      </c>
      <c r="CH34" s="91">
        <f t="shared" ref="CH34:CH36" si="176">CE34*CF34*CC$48</f>
        <v>501.17718620089215</v>
      </c>
      <c r="CI34" s="91">
        <f t="shared" ref="CI34:CI36" si="177">SUM(CG34:CH34)*0.000000000001</f>
        <v>1.7744336862008921E-9</v>
      </c>
      <c r="CJ34" s="91">
        <f t="shared" ref="CJ34:CJ36" si="178">CE34*CC$50*0.000000000001</f>
        <v>6.6028695045311666E-9</v>
      </c>
      <c r="CR34" s="105"/>
      <c r="CS34" s="1" t="s">
        <v>41</v>
      </c>
      <c r="CT34" s="1" t="s">
        <v>41</v>
      </c>
      <c r="CU34" s="1" t="s">
        <v>41</v>
      </c>
      <c r="CV34" s="1" t="s">
        <v>41</v>
      </c>
      <c r="CW34" s="1" t="s">
        <v>41</v>
      </c>
    </row>
    <row r="35" spans="1:102" x14ac:dyDescent="0.35">
      <c r="A35" s="55" t="s">
        <v>30</v>
      </c>
      <c r="B35" s="58">
        <v>3.9656713174778402E-11</v>
      </c>
      <c r="C35" s="77" t="s">
        <v>11</v>
      </c>
      <c r="E35" s="104"/>
      <c r="F35" s="1" t="s">
        <v>43</v>
      </c>
      <c r="G35" s="1" t="s">
        <v>43</v>
      </c>
      <c r="H35" s="1" t="s">
        <v>43</v>
      </c>
      <c r="I35" s="1" t="s">
        <v>43</v>
      </c>
      <c r="J35" s="1" t="s">
        <v>43</v>
      </c>
      <c r="M35" s="55" t="s">
        <v>18</v>
      </c>
      <c r="N35" s="55">
        <v>44574.51</v>
      </c>
      <c r="O35" s="56">
        <v>1442260000</v>
      </c>
      <c r="P35" s="55">
        <v>4511.93</v>
      </c>
      <c r="Q35" s="56">
        <f t="shared" ref="Q35:Q36" si="179">O35*$M$49</f>
        <v>1456.6826000000001</v>
      </c>
      <c r="R35" s="56">
        <f t="shared" ref="R35:R36" si="180">O35*P35*$M$48</f>
        <v>258.06114996889295</v>
      </c>
      <c r="S35" s="56">
        <f t="shared" ref="S35:S36" si="181">SUM(Q35:R35)*0.000000000001</f>
        <v>1.714743749968893E-9</v>
      </c>
      <c r="T35" s="56">
        <f t="shared" ref="T35:T36" si="182">O35*$M$50*0.000000000001</f>
        <v>2.2759684404313718E-9</v>
      </c>
      <c r="AB35" s="105"/>
      <c r="AC35" s="56">
        <f>MEDIAN(AC6:AC8,AC10:AC12,AC14:AC16,AC18:AC20,AC23:AC25,AC27:AC29)</f>
        <v>24303.279813143392</v>
      </c>
      <c r="AD35" s="67">
        <f t="shared" ref="AD35:AG35" si="183">MEDIAN(AD6:AD8,AD10:AD12,AD14:AD16,AD18:AD20,AD23:AD25,AD27:AD29)</f>
        <v>3091.756195534771</v>
      </c>
      <c r="AE35" s="67">
        <f t="shared" si="183"/>
        <v>2.7750176698640752E-8</v>
      </c>
      <c r="AF35" s="67">
        <f t="shared" si="183"/>
        <v>7.5001392220162885E-8</v>
      </c>
      <c r="AG35" s="67">
        <f t="shared" si="183"/>
        <v>4.6426862652193047E-8</v>
      </c>
      <c r="AI35" s="55" t="s">
        <v>30</v>
      </c>
      <c r="AJ35" s="61">
        <v>3.9656713174778402E-11</v>
      </c>
      <c r="AK35" s="77" t="s">
        <v>11</v>
      </c>
      <c r="AM35" s="104"/>
      <c r="AN35" s="1" t="s">
        <v>43</v>
      </c>
      <c r="AO35" s="1" t="s">
        <v>43</v>
      </c>
      <c r="AP35" s="1" t="s">
        <v>43</v>
      </c>
      <c r="AQ35" s="1" t="s">
        <v>43</v>
      </c>
      <c r="AR35" s="1" t="s">
        <v>43</v>
      </c>
      <c r="AU35" s="55" t="s">
        <v>18</v>
      </c>
      <c r="AV35" s="55">
        <v>44574.51</v>
      </c>
      <c r="AW35" s="56">
        <v>1442260000</v>
      </c>
      <c r="AX35" s="55">
        <v>4511.93</v>
      </c>
      <c r="AY35" s="91">
        <f t="shared" si="171"/>
        <v>1456.6826000000001</v>
      </c>
      <c r="AZ35" s="91">
        <f t="shared" si="172"/>
        <v>258.06114996889295</v>
      </c>
      <c r="BA35" s="91">
        <f t="shared" si="173"/>
        <v>1.714743749968893E-9</v>
      </c>
      <c r="BB35" s="91">
        <f t="shared" si="174"/>
        <v>8.1626007185748177E-10</v>
      </c>
      <c r="BJ35" s="105"/>
      <c r="BK35" s="56">
        <f>MEDIAN(BK6:BK7,BK10:BK11,BK14:BK15,BK18:BK19,BK23:BK24,BK27:BK28)</f>
        <v>24303.279813143392</v>
      </c>
      <c r="BL35" s="91">
        <f t="shared" ref="BL35:BO35" si="184">MEDIAN(BL6:BL7,BL10:BL11,BL14:BL15,BL18:BL19,BL23:BL24,BL27:BL28)</f>
        <v>1021.1106859770199</v>
      </c>
      <c r="BM35" s="91">
        <f t="shared" si="184"/>
        <v>2.6716297472478159E-8</v>
      </c>
      <c r="BN35" s="91">
        <f t="shared" si="184"/>
        <v>3.0455656592724408E-8</v>
      </c>
      <c r="BO35" s="91">
        <f t="shared" si="184"/>
        <v>3.7410585335876777E-9</v>
      </c>
      <c r="BQ35" s="55" t="s">
        <v>30</v>
      </c>
      <c r="BR35" s="64">
        <v>3.9656713174778402E-11</v>
      </c>
      <c r="BS35" s="77" t="s">
        <v>11</v>
      </c>
      <c r="BU35" s="104"/>
      <c r="BV35" s="1" t="s">
        <v>43</v>
      </c>
      <c r="BW35" s="1" t="s">
        <v>43</v>
      </c>
      <c r="BX35" s="1" t="s">
        <v>43</v>
      </c>
      <c r="BY35" s="1" t="s">
        <v>43</v>
      </c>
      <c r="BZ35" s="1" t="s">
        <v>43</v>
      </c>
      <c r="CC35" s="55" t="s">
        <v>18</v>
      </c>
      <c r="CD35" s="55">
        <v>44574.51</v>
      </c>
      <c r="CE35" s="56">
        <v>1442260000</v>
      </c>
      <c r="CF35" s="55">
        <v>4511.93</v>
      </c>
      <c r="CG35" s="91">
        <f t="shared" si="175"/>
        <v>1456.6826000000001</v>
      </c>
      <c r="CH35" s="91">
        <f t="shared" si="176"/>
        <v>258.06114996889295</v>
      </c>
      <c r="CI35" s="91">
        <f t="shared" si="177"/>
        <v>1.714743749968893E-9</v>
      </c>
      <c r="CJ35" s="91">
        <f t="shared" si="178"/>
        <v>7.5540828712212906E-9</v>
      </c>
      <c r="CR35" s="105"/>
      <c r="CS35" s="56">
        <f>MEDIAN(CS6:CS8,CS10:CS12,CS14:CS16,CS18:CS20,CS23:CS25,CS27:CS29)</f>
        <v>24303.279813143392</v>
      </c>
      <c r="CT35" s="67">
        <f t="shared" ref="CT35:CW35" si="185">MEDIAN(CT6:CT8,CT10:CT12,CT14:CT16,CT18:CT20,CT23:CT25,CT27:CT29)</f>
        <v>3091.756195534771</v>
      </c>
      <c r="CU35" s="67">
        <f t="shared" si="185"/>
        <v>2.7750176698640752E-8</v>
      </c>
      <c r="CV35" s="67">
        <f t="shared" si="185"/>
        <v>2.0603322044941356E-7</v>
      </c>
      <c r="CW35" s="67">
        <f t="shared" si="185"/>
        <v>1.7719171447181271E-7</v>
      </c>
    </row>
    <row r="36" spans="1:102" ht="16" x14ac:dyDescent="0.4">
      <c r="A36" s="55" t="s">
        <v>37</v>
      </c>
      <c r="B36" s="31">
        <v>1.0100000000000001E-6</v>
      </c>
      <c r="C36" s="77" t="s">
        <v>11</v>
      </c>
      <c r="E36" s="104"/>
      <c r="F36" s="56">
        <f>MAX(F8,F12,F16,F20,F24,F28)</f>
        <v>6493.0445497999999</v>
      </c>
      <c r="G36" s="56">
        <f>MAX(G8,G12,G16,G20,G24,G28)</f>
        <v>388.27052950484705</v>
      </c>
      <c r="H36" s="56">
        <f>MAX(H8,H12,H16,H20,H24,H28)</f>
        <v>6.8813150793048477E-9</v>
      </c>
      <c r="I36" s="56">
        <f>MAX(I8,I12,I16,I20,I24,I28)</f>
        <v>6.2152788481755226E-9</v>
      </c>
      <c r="J36" s="56">
        <f>MAX(J8,J12,J16,J20,J24,J28)</f>
        <v>-4.2478314376288367E-10</v>
      </c>
      <c r="K36" s="56"/>
      <c r="M36" s="55" t="s">
        <v>16</v>
      </c>
      <c r="N36" s="55">
        <v>22860.73</v>
      </c>
      <c r="O36" s="56">
        <v>652254000</v>
      </c>
      <c r="P36" s="55">
        <v>4900.57</v>
      </c>
      <c r="Q36" s="56">
        <f t="shared" si="179"/>
        <v>658.77654000000007</v>
      </c>
      <c r="R36" s="56">
        <f t="shared" si="180"/>
        <v>126.75936775838258</v>
      </c>
      <c r="S36" s="56">
        <f t="shared" si="181"/>
        <v>7.8553590775838266E-10</v>
      </c>
      <c r="T36" s="56">
        <f t="shared" si="182"/>
        <v>1.029293968594514E-9</v>
      </c>
      <c r="X36" s="55" t="s">
        <v>36</v>
      </c>
      <c r="Y36" s="55" t="s">
        <v>39</v>
      </c>
      <c r="Z36" s="55" t="s">
        <v>9</v>
      </c>
      <c r="AB36" s="105"/>
      <c r="AC36" s="1" t="s">
        <v>43</v>
      </c>
      <c r="AD36" s="1" t="s">
        <v>43</v>
      </c>
      <c r="AE36" s="1" t="s">
        <v>43</v>
      </c>
      <c r="AF36" s="1" t="s">
        <v>43</v>
      </c>
      <c r="AG36" s="1" t="s">
        <v>43</v>
      </c>
      <c r="AH36" s="28"/>
      <c r="AI36" s="55" t="s">
        <v>37</v>
      </c>
      <c r="AJ36" s="31">
        <v>1.0100000000000001E-6</v>
      </c>
      <c r="AK36" s="77" t="s">
        <v>11</v>
      </c>
      <c r="AM36" s="104"/>
      <c r="AN36" s="56">
        <f>MAX(AN8,AN12,AN16,AN20,AN24,AN28)</f>
        <v>6493.0445497999999</v>
      </c>
      <c r="AO36" s="56">
        <f>MAX(AO8,AO12,AO16,AO20,AO24,AO28)</f>
        <v>388.27052950484705</v>
      </c>
      <c r="AP36" s="56">
        <f>MAX(AP8,AP12,AP16,AP20,AP24,AP28)</f>
        <v>6.8813150793048477E-9</v>
      </c>
      <c r="AQ36" s="56">
        <f>MAX(AQ8,AQ12,AQ16,AQ20,AQ24,AQ28)</f>
        <v>2.6532151928576149E-9</v>
      </c>
      <c r="AR36" s="56">
        <f>MAX(AR8,AR12,AR16,AR20,AR24,AR28)</f>
        <v>-2.6904437732989105E-9</v>
      </c>
      <c r="AS36" s="56"/>
      <c r="AU36" s="55" t="s">
        <v>16</v>
      </c>
      <c r="AV36" s="55">
        <v>22860.73</v>
      </c>
      <c r="AW36" s="56">
        <v>652254000</v>
      </c>
      <c r="AX36" s="55">
        <v>4900.57</v>
      </c>
      <c r="AY36" s="91">
        <f t="shared" si="171"/>
        <v>658.77654000000007</v>
      </c>
      <c r="AZ36" s="91">
        <f t="shared" si="172"/>
        <v>126.75936775838258</v>
      </c>
      <c r="BA36" s="91">
        <f t="shared" si="173"/>
        <v>7.8553590775838266E-10</v>
      </c>
      <c r="BB36" s="91">
        <f t="shared" si="174"/>
        <v>3.6914904171878156E-10</v>
      </c>
      <c r="BF36" s="55" t="s">
        <v>36</v>
      </c>
      <c r="BG36" s="55" t="s">
        <v>39</v>
      </c>
      <c r="BH36" s="55" t="s">
        <v>9</v>
      </c>
      <c r="BJ36" s="105"/>
      <c r="BK36" s="1" t="s">
        <v>43</v>
      </c>
      <c r="BL36" s="1" t="s">
        <v>43</v>
      </c>
      <c r="BM36" s="1" t="s">
        <v>43</v>
      </c>
      <c r="BN36" s="1" t="s">
        <v>43</v>
      </c>
      <c r="BO36" s="1" t="s">
        <v>43</v>
      </c>
      <c r="BP36" s="28"/>
      <c r="BQ36" s="55" t="s">
        <v>37</v>
      </c>
      <c r="BR36" s="31">
        <v>1.0100000000000001E-6</v>
      </c>
      <c r="BS36" s="77" t="s">
        <v>11</v>
      </c>
      <c r="BU36" s="104"/>
      <c r="BV36" s="56">
        <f>MAX(BV8,BV12,BV16,BV20,BV24,BV28)</f>
        <v>6493.0445497999999</v>
      </c>
      <c r="BW36" s="56">
        <f>MAX(BW8,BW12,BW16,BW20,BW24,BW28)</f>
        <v>388.27052950484705</v>
      </c>
      <c r="BX36" s="56">
        <f>MAX(BX8,BX12,BX16,BX20,BX24,BX28)</f>
        <v>6.8813150793048477E-9</v>
      </c>
      <c r="BY36" s="56">
        <f>MAX(BY8,BY12,BY16,BY20,BY24,BY28)</f>
        <v>1.7432116116492836E-8</v>
      </c>
      <c r="BZ36" s="56">
        <f>MAX(BZ8,BZ12,BZ16,BZ20,BZ24,BZ28)</f>
        <v>1.0550801037187988E-8</v>
      </c>
      <c r="CA36" s="56"/>
      <c r="CC36" s="55" t="s">
        <v>16</v>
      </c>
      <c r="CD36" s="55">
        <v>22860.73</v>
      </c>
      <c r="CE36" s="56">
        <v>652254000</v>
      </c>
      <c r="CF36" s="55">
        <v>4900.57</v>
      </c>
      <c r="CG36" s="91">
        <f t="shared" si="175"/>
        <v>658.77654000000007</v>
      </c>
      <c r="CH36" s="91">
        <f t="shared" si="176"/>
        <v>126.75936775838258</v>
      </c>
      <c r="CI36" s="91">
        <f t="shared" si="177"/>
        <v>7.8553590775838266E-10</v>
      </c>
      <c r="CJ36" s="91">
        <f t="shared" si="178"/>
        <v>3.4162916319426262E-9</v>
      </c>
      <c r="CN36" s="55" t="s">
        <v>36</v>
      </c>
      <c r="CO36" s="55" t="s">
        <v>39</v>
      </c>
      <c r="CP36" s="55" t="s">
        <v>9</v>
      </c>
      <c r="CR36" s="105"/>
      <c r="CS36" s="1" t="s">
        <v>43</v>
      </c>
      <c r="CT36" s="1" t="s">
        <v>43</v>
      </c>
      <c r="CU36" s="1" t="s">
        <v>43</v>
      </c>
      <c r="CV36" s="1" t="s">
        <v>43</v>
      </c>
      <c r="CW36" s="1" t="s">
        <v>43</v>
      </c>
    </row>
    <row r="37" spans="1:102" x14ac:dyDescent="0.35">
      <c r="A37" s="55" t="s">
        <v>38</v>
      </c>
      <c r="B37" s="68">
        <v>9.6679324906998162E-7</v>
      </c>
      <c r="C37" s="77" t="s">
        <v>11</v>
      </c>
      <c r="M37" s="1" t="s">
        <v>27</v>
      </c>
      <c r="Q37" s="56">
        <f>SUM(Q34:Q36)</f>
        <v>3388.7156400000003</v>
      </c>
      <c r="R37" s="56">
        <f t="shared" ref="R37:T37" si="186">SUM(R34:R36)</f>
        <v>885.99770392816765</v>
      </c>
      <c r="S37" s="56">
        <f t="shared" si="186"/>
        <v>4.2747133439281674E-9</v>
      </c>
      <c r="T37" s="56">
        <f t="shared" si="186"/>
        <v>5.2946399237803745E-9</v>
      </c>
      <c r="U37" s="56">
        <f>T37-S37</f>
        <v>1.0199265798522071E-9</v>
      </c>
      <c r="V37" s="56"/>
      <c r="X37" s="55" t="s">
        <v>30</v>
      </c>
      <c r="Y37" s="60">
        <v>3.9656713174778402E-11</v>
      </c>
      <c r="Z37" s="77" t="s">
        <v>11</v>
      </c>
      <c r="AB37" s="105"/>
      <c r="AC37" s="56">
        <f>MAX(AC6:AC8,AC10:AC12,AC14:AC16,AC18:AC20,AC23:AC25,AC27:AC29)</f>
        <v>27997.193731818799</v>
      </c>
      <c r="AD37" s="67">
        <f t="shared" ref="AD37:AG37" si="187">MAX(AD6:AD8,AD10:AD12,AD14:AD16,AD18:AD20,AD23:AD25,AD27:AD29)</f>
        <v>20991.15476896672</v>
      </c>
      <c r="AE37" s="67">
        <f t="shared" si="187"/>
        <v>4.8988348500785519E-8</v>
      </c>
      <c r="AF37" s="67">
        <f t="shared" si="187"/>
        <v>8.6401034110977249E-8</v>
      </c>
      <c r="AG37" s="67">
        <f t="shared" si="187"/>
        <v>5.8361680095566321E-8</v>
      </c>
      <c r="AI37" s="55" t="s">
        <v>38</v>
      </c>
      <c r="AJ37" s="69">
        <v>4.1271045104237477E-7</v>
      </c>
      <c r="AK37" s="77" t="s">
        <v>11</v>
      </c>
      <c r="AU37" s="1" t="s">
        <v>27</v>
      </c>
      <c r="AY37" s="56">
        <f>SUM(AY34:AY36)</f>
        <v>3388.7156400000003</v>
      </c>
      <c r="AZ37" s="56">
        <f t="shared" ref="AZ37:BB37" si="188">SUM(AZ34:AZ36)</f>
        <v>885.99770392816765</v>
      </c>
      <c r="BA37" s="56">
        <f t="shared" si="188"/>
        <v>4.2747133439281674E-9</v>
      </c>
      <c r="BB37" s="56">
        <f t="shared" si="188"/>
        <v>1.8988853658380847E-9</v>
      </c>
      <c r="BC37" s="56">
        <f>BB37-BA37</f>
        <v>-2.3758279780900827E-9</v>
      </c>
      <c r="BD37" s="56"/>
      <c r="BF37" s="55" t="s">
        <v>30</v>
      </c>
      <c r="BG37" s="63">
        <v>3.9656713174778402E-11</v>
      </c>
      <c r="BH37" s="77" t="s">
        <v>11</v>
      </c>
      <c r="BJ37" s="105"/>
      <c r="BK37" s="56">
        <f>MAX(BK6:BK7,BK10:BK11,BK14:BK15,BK18:BK19,BK23:BK24,BK27:BK28)</f>
        <v>27997.193731818799</v>
      </c>
      <c r="BL37" s="91">
        <f t="shared" ref="BL37:BO37" si="189">MAX(BL6:BL7,BL10:BL11,BL14:BL15,BL18:BL19,BL23:BL24,BL27:BL28)</f>
        <v>3561.6796516133377</v>
      </c>
      <c r="BM37" s="91">
        <f t="shared" si="189"/>
        <v>3.1558873383432136E-8</v>
      </c>
      <c r="BN37" s="91">
        <f t="shared" si="189"/>
        <v>3.5084685047123469E-8</v>
      </c>
      <c r="BO37" s="91">
        <f t="shared" si="189"/>
        <v>7.0453310317125405E-9</v>
      </c>
      <c r="BQ37" s="55" t="s">
        <v>38</v>
      </c>
      <c r="BR37" s="70">
        <v>2.7115842410476121E-6</v>
      </c>
      <c r="BS37" s="77" t="s">
        <v>11</v>
      </c>
      <c r="CC37" s="1" t="s">
        <v>27</v>
      </c>
      <c r="CG37" s="56">
        <f>SUM(CG34:CG36)</f>
        <v>3388.7156400000003</v>
      </c>
      <c r="CH37" s="56">
        <f t="shared" ref="CH37:CJ37" si="190">SUM(CH34:CH36)</f>
        <v>885.99770392816765</v>
      </c>
      <c r="CI37" s="56">
        <f t="shared" si="190"/>
        <v>4.2747133439281674E-9</v>
      </c>
      <c r="CJ37" s="56">
        <f t="shared" si="190"/>
        <v>1.7573244007695085E-8</v>
      </c>
      <c r="CK37" s="56">
        <f>CJ37-CI37</f>
        <v>1.3298530663766918E-8</v>
      </c>
      <c r="CL37" s="56"/>
      <c r="CN37" s="55" t="s">
        <v>30</v>
      </c>
      <c r="CO37" s="67">
        <v>3.9656713174778402E-11</v>
      </c>
      <c r="CP37" s="77" t="s">
        <v>11</v>
      </c>
      <c r="CR37" s="105"/>
      <c r="CS37" s="56">
        <f>MAX(CS6:CS8,CS10:CS12,CS14:CS16,CS18:CS20,CS23:CS25,CS27:CS29)</f>
        <v>27997.193731818799</v>
      </c>
      <c r="CT37" s="67">
        <f t="shared" ref="CT37:CW37" si="191">MAX(CT6:CT8,CT10:CT12,CT14:CT16,CT18:CT20,CT23:CT25,CT27:CT29)</f>
        <v>20991.15476896672</v>
      </c>
      <c r="CU37" s="67">
        <f t="shared" si="191"/>
        <v>4.8988348500785519E-8</v>
      </c>
      <c r="CV37" s="67">
        <f t="shared" si="191"/>
        <v>2.3734870488522275E-7</v>
      </c>
      <c r="CW37" s="67">
        <f t="shared" si="191"/>
        <v>2.0930935086981182E-7</v>
      </c>
    </row>
    <row r="38" spans="1:102" ht="16" x14ac:dyDescent="0.4">
      <c r="L38" s="55">
        <v>2019</v>
      </c>
      <c r="M38" s="55" t="s">
        <v>22</v>
      </c>
      <c r="N38" s="55">
        <v>100720.79</v>
      </c>
      <c r="O38" s="56">
        <v>2157170000</v>
      </c>
      <c r="X38" s="55" t="s">
        <v>37</v>
      </c>
      <c r="Y38" s="31">
        <v>1.0100000000000001E-6</v>
      </c>
      <c r="Z38" s="77" t="s">
        <v>11</v>
      </c>
      <c r="AB38" s="29"/>
      <c r="AT38" s="55">
        <v>2019</v>
      </c>
      <c r="AU38" s="55" t="s">
        <v>22</v>
      </c>
      <c r="AV38" s="55">
        <v>100720.79</v>
      </c>
      <c r="AW38" s="56">
        <v>2157170000</v>
      </c>
      <c r="BF38" s="55" t="s">
        <v>37</v>
      </c>
      <c r="BG38" s="31">
        <v>1.0100000000000001E-6</v>
      </c>
      <c r="BH38" s="77" t="s">
        <v>11</v>
      </c>
      <c r="BJ38" s="29"/>
      <c r="CB38" s="55">
        <v>2019</v>
      </c>
      <c r="CC38" s="55" t="s">
        <v>22</v>
      </c>
      <c r="CD38" s="55">
        <v>100720.79</v>
      </c>
      <c r="CE38" s="56">
        <v>2157170000</v>
      </c>
      <c r="CN38" s="55" t="s">
        <v>37</v>
      </c>
      <c r="CO38" s="31">
        <v>1.0100000000000001E-6</v>
      </c>
      <c r="CP38" s="77" t="s">
        <v>11</v>
      </c>
      <c r="CR38" s="29"/>
    </row>
    <row r="39" spans="1:102" x14ac:dyDescent="0.35">
      <c r="M39" s="55" t="s">
        <v>17</v>
      </c>
      <c r="N39" s="55">
        <v>50042.92</v>
      </c>
      <c r="O39" s="56">
        <v>1036790000</v>
      </c>
      <c r="P39" s="55">
        <v>10024.9</v>
      </c>
      <c r="Q39" s="56">
        <f>O39*$M$49</f>
        <v>1047.1579000000002</v>
      </c>
      <c r="R39" s="56">
        <f>O39*P39*$M$48</f>
        <v>412.18061704773169</v>
      </c>
      <c r="S39" s="56">
        <f>SUM(Q39:R39)*0.000000000001</f>
        <v>1.4593385170477317E-9</v>
      </c>
      <c r="T39" s="56">
        <f>O39*$M$50*0.000000000001</f>
        <v>1.6361136822451168E-9</v>
      </c>
      <c r="X39" s="55" t="s">
        <v>38</v>
      </c>
      <c r="Y39" s="74">
        <v>3.1169211203089385E-6</v>
      </c>
      <c r="Z39" s="77" t="s">
        <v>11</v>
      </c>
      <c r="AU39" s="55" t="s">
        <v>17</v>
      </c>
      <c r="AV39" s="55">
        <v>50042.92</v>
      </c>
      <c r="AW39" s="56">
        <v>1036790000</v>
      </c>
      <c r="AX39" s="55">
        <v>10024.9</v>
      </c>
      <c r="AY39" s="91">
        <f t="shared" ref="AY39:AY42" si="192">AW39*AU$49</f>
        <v>1047.1579000000002</v>
      </c>
      <c r="AZ39" s="91">
        <f t="shared" ref="AZ39:AZ42" si="193">AW39*AX39*AU$48</f>
        <v>412.18061704773169</v>
      </c>
      <c r="BA39" s="91">
        <f t="shared" ref="BA39:BA42" si="194">SUM(AY39:AZ39)*0.000000000001</f>
        <v>1.4593385170477317E-9</v>
      </c>
      <c r="BB39" s="91">
        <f t="shared" ref="BB39:BB42" si="195">AW39*AU$50*0.000000000001</f>
        <v>5.8678066361205233E-10</v>
      </c>
      <c r="BF39" s="55" t="s">
        <v>38</v>
      </c>
      <c r="BG39" s="75">
        <v>1.2656815621246441E-6</v>
      </c>
      <c r="BH39" s="77" t="s">
        <v>11</v>
      </c>
      <c r="BJ39" s="105" t="s">
        <v>49</v>
      </c>
      <c r="BK39" s="1" t="s">
        <v>55</v>
      </c>
      <c r="BL39" s="1" t="s">
        <v>56</v>
      </c>
      <c r="BM39" s="1" t="s">
        <v>57</v>
      </c>
      <c r="BN39" s="1" t="s">
        <v>57</v>
      </c>
      <c r="BO39" s="19" t="s">
        <v>58</v>
      </c>
      <c r="CC39" s="55" t="s">
        <v>17</v>
      </c>
      <c r="CD39" s="55">
        <v>50042.92</v>
      </c>
      <c r="CE39" s="56">
        <v>1036790000</v>
      </c>
      <c r="CF39" s="55">
        <v>10024.9</v>
      </c>
      <c r="CG39" s="91">
        <f t="shared" ref="CG39:CG42" si="196">CE39*CC$49</f>
        <v>1047.1579000000002</v>
      </c>
      <c r="CH39" s="91">
        <f t="shared" ref="CH39:CH42" si="197">CE39*CF39*CC$48</f>
        <v>412.18061704773169</v>
      </c>
      <c r="CI39" s="91">
        <f t="shared" ref="CI39:CI42" si="198">SUM(CG39:CH39)*0.000000000001</f>
        <v>1.4593385170477317E-9</v>
      </c>
      <c r="CJ39" s="91">
        <f t="shared" ref="CJ39:CJ42" si="199">CE39*CC$50*0.000000000001</f>
        <v>5.4303645528916572E-9</v>
      </c>
      <c r="CN39" s="55" t="s">
        <v>38</v>
      </c>
      <c r="CO39" s="76">
        <v>8.5623650080911794E-6</v>
      </c>
      <c r="CP39" s="77" t="s">
        <v>11</v>
      </c>
    </row>
    <row r="40" spans="1:102" ht="16.5" customHeight="1" x14ac:dyDescent="0.35">
      <c r="M40" s="55" t="s">
        <v>18</v>
      </c>
      <c r="N40" s="55">
        <v>21347.59</v>
      </c>
      <c r="O40" s="56">
        <v>616643000</v>
      </c>
      <c r="P40" s="55">
        <v>4511.93</v>
      </c>
      <c r="Q40" s="56">
        <f t="shared" ref="Q40:Q42" si="200">O40*$M$49</f>
        <v>622.80943000000002</v>
      </c>
      <c r="R40" s="56">
        <f t="shared" ref="R40:R42" si="201">O40*P40*$M$48</f>
        <v>110.33489225262301</v>
      </c>
      <c r="S40" s="56">
        <f t="shared" ref="S40:S42" si="202">SUM(Q40:R40)*0.000000000001</f>
        <v>7.3314432225262304E-10</v>
      </c>
      <c r="T40" s="56">
        <f t="shared" ref="T40:T42" si="203">O40*$M$50*0.000000000001</f>
        <v>9.7309778196228305E-10</v>
      </c>
      <c r="AB40" s="29"/>
      <c r="AC40" s="1"/>
      <c r="AD40" s="1"/>
      <c r="AE40" s="1"/>
      <c r="AF40" s="1"/>
      <c r="AG40" s="19"/>
      <c r="AU40" s="55" t="s">
        <v>18</v>
      </c>
      <c r="AV40" s="55">
        <v>21347.59</v>
      </c>
      <c r="AW40" s="56">
        <v>616643000</v>
      </c>
      <c r="AX40" s="55">
        <v>4511.93</v>
      </c>
      <c r="AY40" s="91">
        <f t="shared" si="192"/>
        <v>622.80943000000002</v>
      </c>
      <c r="AZ40" s="91">
        <f t="shared" si="193"/>
        <v>110.33489225262301</v>
      </c>
      <c r="BA40" s="91">
        <f t="shared" si="194"/>
        <v>7.3314432225262304E-10</v>
      </c>
      <c r="BB40" s="91">
        <f t="shared" si="195"/>
        <v>3.4899467467059553E-10</v>
      </c>
      <c r="BJ40" s="105"/>
      <c r="BK40" s="1" t="s">
        <v>42</v>
      </c>
      <c r="BL40" s="1" t="s">
        <v>42</v>
      </c>
      <c r="BM40" s="1" t="s">
        <v>42</v>
      </c>
      <c r="BN40" s="1" t="s">
        <v>42</v>
      </c>
      <c r="BO40" s="1" t="s">
        <v>42</v>
      </c>
      <c r="CC40" s="55" t="s">
        <v>18</v>
      </c>
      <c r="CD40" s="55">
        <v>21347.59</v>
      </c>
      <c r="CE40" s="56">
        <v>616643000</v>
      </c>
      <c r="CF40" s="55">
        <v>4511.93</v>
      </c>
      <c r="CG40" s="91">
        <f t="shared" si="196"/>
        <v>622.80943000000002</v>
      </c>
      <c r="CH40" s="91">
        <f t="shared" si="197"/>
        <v>110.33489225262301</v>
      </c>
      <c r="CI40" s="91">
        <f t="shared" si="198"/>
        <v>7.3314432225262304E-10</v>
      </c>
      <c r="CJ40" s="91">
        <f t="shared" si="199"/>
        <v>3.2297729424365308E-9</v>
      </c>
      <c r="CR40" s="81"/>
      <c r="CS40" s="78"/>
      <c r="CT40" s="78"/>
      <c r="CU40" s="78"/>
      <c r="CV40" s="78"/>
      <c r="CW40" s="79"/>
      <c r="CX40" s="21"/>
    </row>
    <row r="41" spans="1:102" x14ac:dyDescent="0.35">
      <c r="M41" s="55" t="s">
        <v>23</v>
      </c>
      <c r="N41" s="55">
        <v>17963.939999999999</v>
      </c>
      <c r="O41" s="56">
        <v>448077000</v>
      </c>
      <c r="P41" s="55">
        <v>3493.52</v>
      </c>
      <c r="Q41" s="56">
        <f t="shared" si="200"/>
        <v>452.55777</v>
      </c>
      <c r="R41" s="56">
        <f t="shared" si="201"/>
        <v>62.077268930524625</v>
      </c>
      <c r="S41" s="56">
        <f t="shared" si="202"/>
        <v>5.1463503893052456E-10</v>
      </c>
      <c r="T41" s="56">
        <f t="shared" si="203"/>
        <v>7.0709103135576652E-10</v>
      </c>
      <c r="AB41" s="29"/>
      <c r="AC41" s="1"/>
      <c r="AD41" s="1"/>
      <c r="AE41" s="1"/>
      <c r="AF41" s="1"/>
      <c r="AG41" s="1"/>
      <c r="AU41" s="55" t="s">
        <v>23</v>
      </c>
      <c r="AV41" s="55">
        <v>17963.939999999999</v>
      </c>
      <c r="AW41" s="56">
        <v>448077000</v>
      </c>
      <c r="AX41" s="55">
        <v>3493.52</v>
      </c>
      <c r="AY41" s="91">
        <f t="shared" si="192"/>
        <v>452.55777</v>
      </c>
      <c r="AZ41" s="91">
        <f t="shared" si="193"/>
        <v>62.077268930524625</v>
      </c>
      <c r="BA41" s="91">
        <f t="shared" si="194"/>
        <v>5.1463503893052456E-10</v>
      </c>
      <c r="BB41" s="91">
        <f t="shared" si="195"/>
        <v>2.535932246735574E-10</v>
      </c>
      <c r="BJ41" s="105"/>
      <c r="BK41" s="91">
        <f>MIN(BK8,BK12,BK16,BK20,BK25,BK29)</f>
        <v>15721.823196810004</v>
      </c>
      <c r="BL41" s="91">
        <f t="shared" ref="BL41:BO41" si="204">MIN(BL8,BL12,BL16,BL20,BL25,BL29)</f>
        <v>11787.582253270735</v>
      </c>
      <c r="BM41" s="91">
        <f t="shared" si="204"/>
        <v>2.7509405450080739E-8</v>
      </c>
      <c r="BN41" s="91">
        <f t="shared" si="204"/>
        <v>1.9701803706124705E-8</v>
      </c>
      <c r="BO41" s="91">
        <f t="shared" si="204"/>
        <v>-1.390366345366205E-8</v>
      </c>
      <c r="CC41" s="55" t="s">
        <v>23</v>
      </c>
      <c r="CD41" s="55">
        <v>17963.939999999999</v>
      </c>
      <c r="CE41" s="56">
        <v>448077000</v>
      </c>
      <c r="CF41" s="55">
        <v>3493.52</v>
      </c>
      <c r="CG41" s="91">
        <f t="shared" si="196"/>
        <v>452.55777</v>
      </c>
      <c r="CH41" s="91">
        <f t="shared" si="197"/>
        <v>62.077268930524625</v>
      </c>
      <c r="CI41" s="91">
        <f t="shared" si="198"/>
        <v>5.1463503893052456E-10</v>
      </c>
      <c r="CJ41" s="91">
        <f t="shared" si="199"/>
        <v>2.3468797517009571E-9</v>
      </c>
      <c r="CR41" s="81"/>
      <c r="CS41" s="78"/>
      <c r="CT41" s="78"/>
      <c r="CU41" s="78"/>
      <c r="CV41" s="78"/>
      <c r="CW41" s="78"/>
      <c r="CX41" s="21"/>
    </row>
    <row r="42" spans="1:102" x14ac:dyDescent="0.35">
      <c r="M42" s="55" t="s">
        <v>21</v>
      </c>
      <c r="N42" s="55">
        <v>1846.82</v>
      </c>
      <c r="O42" s="56">
        <v>26129000</v>
      </c>
      <c r="P42" s="55">
        <v>2839.27</v>
      </c>
      <c r="Q42" s="56">
        <f t="shared" si="200"/>
        <v>26.39029</v>
      </c>
      <c r="R42" s="56">
        <f t="shared" si="201"/>
        <v>2.942023915375612</v>
      </c>
      <c r="S42" s="56">
        <f t="shared" si="202"/>
        <v>2.9332313915375612E-11</v>
      </c>
      <c r="T42" s="56">
        <f t="shared" si="203"/>
        <v>4.1233050476357462E-11</v>
      </c>
      <c r="AB42" s="29"/>
      <c r="AC42" s="67"/>
      <c r="AD42" s="67"/>
      <c r="AE42" s="67"/>
      <c r="AF42" s="67"/>
      <c r="AG42" s="67"/>
      <c r="AU42" s="55" t="s">
        <v>21</v>
      </c>
      <c r="AV42" s="55">
        <v>1846.82</v>
      </c>
      <c r="AW42" s="56">
        <v>26129000</v>
      </c>
      <c r="AX42" s="55">
        <v>2839.27</v>
      </c>
      <c r="AY42" s="91">
        <f t="shared" si="192"/>
        <v>26.39029</v>
      </c>
      <c r="AZ42" s="91">
        <f t="shared" si="193"/>
        <v>2.942023915375612</v>
      </c>
      <c r="BA42" s="91">
        <f t="shared" si="194"/>
        <v>2.9332313915375612E-11</v>
      </c>
      <c r="BB42" s="91">
        <f t="shared" si="195"/>
        <v>1.4787943517510118E-11</v>
      </c>
      <c r="BJ42" s="105"/>
      <c r="BK42" s="1" t="s">
        <v>41</v>
      </c>
      <c r="BL42" s="1" t="s">
        <v>41</v>
      </c>
      <c r="BM42" s="1" t="s">
        <v>41</v>
      </c>
      <c r="BN42" s="1" t="s">
        <v>41</v>
      </c>
      <c r="BO42" s="1" t="s">
        <v>41</v>
      </c>
      <c r="CC42" s="55" t="s">
        <v>21</v>
      </c>
      <c r="CD42" s="55">
        <v>1846.82</v>
      </c>
      <c r="CE42" s="56">
        <v>26129000</v>
      </c>
      <c r="CF42" s="55">
        <v>2839.27</v>
      </c>
      <c r="CG42" s="91">
        <f t="shared" si="196"/>
        <v>26.39029</v>
      </c>
      <c r="CH42" s="91">
        <f t="shared" si="197"/>
        <v>2.942023915375612</v>
      </c>
      <c r="CI42" s="91">
        <f t="shared" si="198"/>
        <v>2.9332313915375612E-11</v>
      </c>
      <c r="CJ42" s="91">
        <f t="shared" si="199"/>
        <v>1.3685509640573901E-10</v>
      </c>
      <c r="CR42" s="81"/>
      <c r="CS42" s="80"/>
      <c r="CT42" s="80"/>
      <c r="CU42" s="80"/>
      <c r="CV42" s="80"/>
      <c r="CW42" s="80"/>
      <c r="CX42" s="21"/>
    </row>
    <row r="43" spans="1:102" x14ac:dyDescent="0.35">
      <c r="M43" s="1" t="s">
        <v>27</v>
      </c>
      <c r="Q43" s="56">
        <f>SUM(Q39:Q42)</f>
        <v>2148.9153900000001</v>
      </c>
      <c r="R43" s="56">
        <f t="shared" ref="R43:T43" si="205">SUM(R39:R42)</f>
        <v>587.53480214625483</v>
      </c>
      <c r="S43" s="56">
        <f t="shared" si="205"/>
        <v>2.7364501921462547E-9</v>
      </c>
      <c r="T43" s="56">
        <f t="shared" si="205"/>
        <v>3.357535546039524E-9</v>
      </c>
      <c r="U43" s="56">
        <f>T43-S43</f>
        <v>6.2108535389326921E-10</v>
      </c>
      <c r="V43" s="56"/>
      <c r="AB43" s="29"/>
      <c r="AC43" s="1"/>
      <c r="AD43" s="1"/>
      <c r="AE43" s="1"/>
      <c r="AF43" s="1"/>
      <c r="AG43" s="1"/>
      <c r="AU43" s="1" t="s">
        <v>27</v>
      </c>
      <c r="AY43" s="56">
        <f>SUM(AY39:AY42)</f>
        <v>2148.9153900000001</v>
      </c>
      <c r="AZ43" s="56">
        <f t="shared" ref="AZ43:BB43" si="206">SUM(AZ39:AZ42)</f>
        <v>587.53480214625483</v>
      </c>
      <c r="BA43" s="56">
        <f t="shared" si="206"/>
        <v>2.7364501921462547E-9</v>
      </c>
      <c r="BB43" s="56">
        <f t="shared" si="206"/>
        <v>1.2041565064737155E-9</v>
      </c>
      <c r="BC43" s="56">
        <f>BB43-BA43</f>
        <v>-1.5322936856725393E-9</v>
      </c>
      <c r="BD43" s="56"/>
      <c r="BJ43" s="105"/>
      <c r="BK43" s="91">
        <f>MEDIAN(BK8,BK12,BK16,BK20,BK25,BK29)</f>
        <v>24303.279813143392</v>
      </c>
      <c r="BL43" s="91">
        <f t="shared" ref="BL43:BO43" si="207">MEDIAN(BL8,BL12,BL16,BL20,BL25,BL29)</f>
        <v>18221.608666850341</v>
      </c>
      <c r="BM43" s="91">
        <f t="shared" si="207"/>
        <v>4.2524888479993728E-8</v>
      </c>
      <c r="BN43" s="91">
        <f t="shared" si="207"/>
        <v>3.0455656592724408E-8</v>
      </c>
      <c r="BO43" s="91">
        <f t="shared" si="207"/>
        <v>-1.206923188726932E-8</v>
      </c>
      <c r="CC43" s="1" t="s">
        <v>27</v>
      </c>
      <c r="CG43" s="56">
        <f>SUM(CG39:CG42)</f>
        <v>2148.9153900000001</v>
      </c>
      <c r="CH43" s="56">
        <f t="shared" ref="CH43:CJ43" si="208">SUM(CH39:CH42)</f>
        <v>587.53480214625483</v>
      </c>
      <c r="CI43" s="56">
        <f t="shared" si="208"/>
        <v>2.7364501921462547E-9</v>
      </c>
      <c r="CJ43" s="56">
        <f t="shared" si="208"/>
        <v>1.1143872343434884E-8</v>
      </c>
      <c r="CK43" s="56">
        <f>CJ43-CI43</f>
        <v>8.4074221512886301E-9</v>
      </c>
      <c r="CL43" s="56"/>
      <c r="CR43" s="81"/>
      <c r="CS43" s="78"/>
      <c r="CT43" s="78"/>
      <c r="CU43" s="78"/>
      <c r="CV43" s="78"/>
      <c r="CW43" s="78"/>
      <c r="CX43" s="21"/>
    </row>
    <row r="44" spans="1:102" x14ac:dyDescent="0.35">
      <c r="AB44" s="29"/>
      <c r="AC44" s="67"/>
      <c r="AD44" s="67"/>
      <c r="AE44" s="67"/>
      <c r="AF44" s="67"/>
      <c r="AG44" s="67"/>
      <c r="BJ44" s="105"/>
      <c r="BK44" s="1" t="s">
        <v>43</v>
      </c>
      <c r="BL44" s="1" t="s">
        <v>43</v>
      </c>
      <c r="BM44" s="1" t="s">
        <v>43</v>
      </c>
      <c r="BN44" s="1" t="s">
        <v>43</v>
      </c>
      <c r="BO44" s="1" t="s">
        <v>43</v>
      </c>
      <c r="CR44" s="81"/>
      <c r="CS44" s="80"/>
      <c r="CT44" s="80"/>
      <c r="CU44" s="80"/>
      <c r="CV44" s="80"/>
      <c r="CW44" s="80"/>
      <c r="CX44" s="21"/>
    </row>
    <row r="45" spans="1:102" x14ac:dyDescent="0.35">
      <c r="C45" s="21"/>
      <c r="Q45" s="1" t="s">
        <v>55</v>
      </c>
      <c r="R45" s="1" t="s">
        <v>56</v>
      </c>
      <c r="S45" s="1" t="s">
        <v>57</v>
      </c>
      <c r="T45" s="1" t="s">
        <v>57</v>
      </c>
      <c r="U45" s="19" t="s">
        <v>58</v>
      </c>
      <c r="V45" s="19"/>
      <c r="AB45" s="29"/>
      <c r="AC45" s="1"/>
      <c r="AD45" s="1"/>
      <c r="AE45" s="1"/>
      <c r="AF45" s="1"/>
      <c r="AG45" s="1"/>
      <c r="AK45" s="21"/>
      <c r="AY45" s="1" t="s">
        <v>55</v>
      </c>
      <c r="AZ45" s="1" t="s">
        <v>56</v>
      </c>
      <c r="BA45" s="1" t="s">
        <v>57</v>
      </c>
      <c r="BB45" s="1" t="s">
        <v>57</v>
      </c>
      <c r="BC45" s="19" t="s">
        <v>58</v>
      </c>
      <c r="BD45" s="19"/>
      <c r="BJ45" s="105"/>
      <c r="BK45" s="91">
        <f>MAX(BK8,BK12,BK16,BK20,BK25,BK29)</f>
        <v>27997.193731818799</v>
      </c>
      <c r="BL45" s="91">
        <f t="shared" ref="BL45:BO45" si="209">MAX(BL8,BL12,BL16,BL20,BL25,BL29)</f>
        <v>20991.15476896672</v>
      </c>
      <c r="BM45" s="91">
        <f t="shared" si="209"/>
        <v>4.8988348500785519E-8</v>
      </c>
      <c r="BN45" s="91">
        <f t="shared" si="209"/>
        <v>3.5084685047123469E-8</v>
      </c>
      <c r="BO45" s="91">
        <f t="shared" si="209"/>
        <v>-7.8076017439560336E-9</v>
      </c>
      <c r="BS45" s="21"/>
      <c r="CG45" s="1" t="s">
        <v>55</v>
      </c>
      <c r="CH45" s="1" t="s">
        <v>56</v>
      </c>
      <c r="CI45" s="1" t="s">
        <v>57</v>
      </c>
      <c r="CJ45" s="1" t="s">
        <v>57</v>
      </c>
      <c r="CK45" s="19" t="s">
        <v>58</v>
      </c>
      <c r="CL45" s="19"/>
      <c r="CR45" s="81"/>
      <c r="CS45" s="78"/>
      <c r="CT45" s="78"/>
      <c r="CU45" s="78"/>
      <c r="CV45" s="78"/>
      <c r="CW45" s="78"/>
      <c r="CX45" s="21"/>
    </row>
    <row r="46" spans="1:102" x14ac:dyDescent="0.35">
      <c r="C46" s="22"/>
      <c r="Q46" s="1" t="s">
        <v>42</v>
      </c>
      <c r="R46" s="1" t="s">
        <v>42</v>
      </c>
      <c r="S46" s="1" t="s">
        <v>42</v>
      </c>
      <c r="T46" s="1" t="s">
        <v>42</v>
      </c>
      <c r="U46" s="1" t="s">
        <v>42</v>
      </c>
      <c r="V46" s="1"/>
      <c r="AB46" s="29"/>
      <c r="AC46" s="67"/>
      <c r="AD46" s="67"/>
      <c r="AE46" s="67"/>
      <c r="AF46" s="67"/>
      <c r="AG46" s="67"/>
      <c r="AK46" s="22"/>
      <c r="AY46" s="1" t="s">
        <v>42</v>
      </c>
      <c r="AZ46" s="1" t="s">
        <v>42</v>
      </c>
      <c r="BA46" s="1" t="s">
        <v>42</v>
      </c>
      <c r="BB46" s="1" t="s">
        <v>42</v>
      </c>
      <c r="BC46" s="1" t="s">
        <v>42</v>
      </c>
      <c r="BD46" s="1"/>
      <c r="BJ46" s="29"/>
      <c r="BK46" s="67"/>
      <c r="BL46" s="67"/>
      <c r="BM46" s="67"/>
      <c r="BN46" s="67"/>
      <c r="BO46" s="67"/>
      <c r="BS46" s="22"/>
      <c r="CG46" s="1" t="s">
        <v>42</v>
      </c>
      <c r="CH46" s="1" t="s">
        <v>42</v>
      </c>
      <c r="CI46" s="1" t="s">
        <v>42</v>
      </c>
      <c r="CJ46" s="1" t="s">
        <v>42</v>
      </c>
      <c r="CK46" s="1" t="s">
        <v>42</v>
      </c>
      <c r="CL46" s="1"/>
      <c r="CR46" s="81"/>
      <c r="CS46" s="80"/>
      <c r="CT46" s="80"/>
      <c r="CU46" s="80"/>
      <c r="CV46" s="80"/>
      <c r="CW46" s="80"/>
      <c r="CX46" s="21"/>
    </row>
    <row r="47" spans="1:102" x14ac:dyDescent="0.35">
      <c r="B47" s="16"/>
      <c r="C47" s="21"/>
      <c r="L47" s="55" t="s">
        <v>36</v>
      </c>
      <c r="M47" s="55" t="s">
        <v>39</v>
      </c>
      <c r="N47" s="55" t="s">
        <v>9</v>
      </c>
      <c r="Q47" s="56">
        <f>MIN(Q11,Q19,Q26,Q32,Q37,Q43)</f>
        <v>2148.9153900000001</v>
      </c>
      <c r="R47" s="56">
        <f t="shared" ref="R47:U47" si="210">MIN(R11,R19,R26,R32,R37,R43)</f>
        <v>587.53480214625483</v>
      </c>
      <c r="S47" s="56">
        <f t="shared" si="210"/>
        <v>2.7364501921462547E-9</v>
      </c>
      <c r="T47" s="56">
        <f t="shared" si="210"/>
        <v>3.357535546039524E-9</v>
      </c>
      <c r="U47" s="56">
        <f t="shared" si="210"/>
        <v>6.2108535389326921E-10</v>
      </c>
      <c r="V47" s="56"/>
      <c r="AJ47" s="16"/>
      <c r="AK47" s="21"/>
      <c r="AT47" s="55" t="s">
        <v>36</v>
      </c>
      <c r="AU47" s="55" t="s">
        <v>39</v>
      </c>
      <c r="AV47" s="55" t="s">
        <v>9</v>
      </c>
      <c r="AY47" s="56">
        <f>MIN(AY11,AY19,AY26,AY32,AY37,AY43)</f>
        <v>2148.9153900000001</v>
      </c>
      <c r="AZ47" s="56">
        <f t="shared" ref="AZ47:BC47" si="211">MIN(AZ11,AZ19,AZ26,AZ32,AZ37,AZ43)</f>
        <v>587.53480214625483</v>
      </c>
      <c r="BA47" s="56">
        <f t="shared" si="211"/>
        <v>2.7364501921462547E-9</v>
      </c>
      <c r="BB47" s="56">
        <f t="shared" si="211"/>
        <v>1.2041565064737155E-9</v>
      </c>
      <c r="BC47" s="56">
        <f t="shared" si="211"/>
        <v>-4.6175817645388228E-9</v>
      </c>
      <c r="BD47" s="56"/>
      <c r="BR47" s="16"/>
      <c r="BS47" s="21"/>
      <c r="CB47" s="55" t="s">
        <v>36</v>
      </c>
      <c r="CC47" s="55" t="s">
        <v>39</v>
      </c>
      <c r="CD47" s="55" t="s">
        <v>9</v>
      </c>
      <c r="CG47" s="56">
        <f>MIN(CG11,CG19,CG26,CG32,CG37,CG43)</f>
        <v>2148.9153900000001</v>
      </c>
      <c r="CH47" s="56">
        <f t="shared" ref="CH47:CK47" si="212">MIN(CH11,CH19,CH26,CH32,CH37,CH43)</f>
        <v>587.53480214625483</v>
      </c>
      <c r="CI47" s="56">
        <f t="shared" si="212"/>
        <v>2.7364501921462547E-9</v>
      </c>
      <c r="CJ47" s="56">
        <f t="shared" si="212"/>
        <v>1.1143872343434884E-8</v>
      </c>
      <c r="CK47" s="56">
        <f t="shared" si="212"/>
        <v>8.4074221512886301E-9</v>
      </c>
      <c r="CL47" s="56"/>
    </row>
    <row r="48" spans="1:102" x14ac:dyDescent="0.35">
      <c r="C48" s="21"/>
      <c r="L48" s="55" t="s">
        <v>30</v>
      </c>
      <c r="M48" s="59">
        <v>3.9656713174778402E-11</v>
      </c>
      <c r="N48" s="77" t="s">
        <v>11</v>
      </c>
      <c r="Q48" s="1" t="s">
        <v>41</v>
      </c>
      <c r="R48" s="1" t="s">
        <v>41</v>
      </c>
      <c r="S48" s="1" t="s">
        <v>41</v>
      </c>
      <c r="T48" s="1" t="s">
        <v>41</v>
      </c>
      <c r="U48" s="1" t="s">
        <v>41</v>
      </c>
      <c r="V48" s="1"/>
      <c r="AK48" s="21"/>
      <c r="AT48" s="55" t="s">
        <v>30</v>
      </c>
      <c r="AU48" s="62">
        <v>3.9656713174778402E-11</v>
      </c>
      <c r="AV48" s="77" t="s">
        <v>11</v>
      </c>
      <c r="AY48" s="1" t="s">
        <v>41</v>
      </c>
      <c r="AZ48" s="1" t="s">
        <v>41</v>
      </c>
      <c r="BA48" s="1" t="s">
        <v>41</v>
      </c>
      <c r="BB48" s="1" t="s">
        <v>41</v>
      </c>
      <c r="BC48" s="1" t="s">
        <v>41</v>
      </c>
      <c r="BD48" s="1"/>
      <c r="BS48" s="21"/>
      <c r="CB48" s="55" t="s">
        <v>30</v>
      </c>
      <c r="CC48" s="65">
        <v>3.9656713174778402E-11</v>
      </c>
      <c r="CD48" s="77" t="s">
        <v>11</v>
      </c>
      <c r="CG48" s="1" t="s">
        <v>41</v>
      </c>
      <c r="CH48" s="1" t="s">
        <v>41</v>
      </c>
      <c r="CI48" s="1" t="s">
        <v>41</v>
      </c>
      <c r="CJ48" s="1" t="s">
        <v>41</v>
      </c>
      <c r="CK48" s="1" t="s">
        <v>41</v>
      </c>
      <c r="CL48" s="1"/>
    </row>
    <row r="49" spans="3:90" ht="16" x14ac:dyDescent="0.4">
      <c r="C49" s="21"/>
      <c r="L49" s="55" t="s">
        <v>37</v>
      </c>
      <c r="M49" s="31">
        <v>1.0100000000000001E-6</v>
      </c>
      <c r="N49" s="77" t="s">
        <v>11</v>
      </c>
      <c r="Q49" s="56">
        <f>MEDIAN(Q11,Q19,Q26,Q32,Q37,Q43)</f>
        <v>3645.8965355</v>
      </c>
      <c r="R49" s="56">
        <f t="shared" ref="R49:U49" si="213">MEDIAN(R11,R19,R26,R32,R37,R43)</f>
        <v>1000.3394642561054</v>
      </c>
      <c r="S49" s="56">
        <f t="shared" si="213"/>
        <v>4.6462359997561056E-9</v>
      </c>
      <c r="T49" s="56">
        <f t="shared" si="213"/>
        <v>5.6964677493065939E-9</v>
      </c>
      <c r="U49" s="56">
        <f t="shared" si="213"/>
        <v>1.0631399939802114E-9</v>
      </c>
      <c r="V49" s="56"/>
      <c r="AK49" s="21"/>
      <c r="AT49" s="55" t="s">
        <v>37</v>
      </c>
      <c r="AU49" s="31">
        <v>1.0100000000000001E-6</v>
      </c>
      <c r="AV49" s="77" t="s">
        <v>11</v>
      </c>
      <c r="AY49" s="56">
        <f>MEDIAN(AY11,AY19,AY26,AY32,AY37,AY43)</f>
        <v>3645.8965355</v>
      </c>
      <c r="AZ49" s="56">
        <f t="shared" ref="AZ49:BC49" si="214">MEDIAN(AZ11,AZ19,AZ26,AZ32,AZ37,AZ43)</f>
        <v>1000.3394642561054</v>
      </c>
      <c r="BA49" s="56">
        <f t="shared" si="214"/>
        <v>4.6462359997561056E-9</v>
      </c>
      <c r="BB49" s="56">
        <f t="shared" si="214"/>
        <v>2.0429980889812055E-9</v>
      </c>
      <c r="BC49" s="56">
        <f t="shared" si="214"/>
        <v>-2.6032379107749005E-9</v>
      </c>
      <c r="BD49" s="56"/>
      <c r="BS49" s="21"/>
      <c r="CB49" s="55" t="s">
        <v>37</v>
      </c>
      <c r="CC49" s="31">
        <v>1.0100000000000001E-6</v>
      </c>
      <c r="CD49" s="77" t="s">
        <v>11</v>
      </c>
      <c r="CG49" s="56">
        <f>MEDIAN(CG11,CG19,CG26,CG32,CG37,CG43)</f>
        <v>3645.8965355</v>
      </c>
      <c r="CH49" s="56">
        <f t="shared" ref="CH49:CK49" si="215">MEDIAN(CH11,CH19,CH26,CH32,CH37,CH43)</f>
        <v>1000.3394642561054</v>
      </c>
      <c r="CI49" s="56">
        <f t="shared" si="215"/>
        <v>4.6462359997561056E-9</v>
      </c>
      <c r="CJ49" s="56">
        <f t="shared" si="215"/>
        <v>1.8906935916626998E-8</v>
      </c>
      <c r="CK49" s="56">
        <f t="shared" si="215"/>
        <v>1.4260699916870893E-8</v>
      </c>
      <c r="CL49" s="56"/>
    </row>
    <row r="50" spans="3:90" x14ac:dyDescent="0.35">
      <c r="C50" s="21"/>
      <c r="L50" s="55" t="s">
        <v>38</v>
      </c>
      <c r="M50" s="71">
        <v>1.5780569664494418E-6</v>
      </c>
      <c r="N50" s="77" t="s">
        <v>11</v>
      </c>
      <c r="Q50" s="1" t="s">
        <v>43</v>
      </c>
      <c r="R50" s="1" t="s">
        <v>43</v>
      </c>
      <c r="S50" s="1" t="s">
        <v>43</v>
      </c>
      <c r="T50" s="1" t="s">
        <v>43</v>
      </c>
      <c r="U50" s="1" t="s">
        <v>43</v>
      </c>
      <c r="V50" s="1"/>
      <c r="AK50" s="21"/>
      <c r="AT50" s="55" t="s">
        <v>38</v>
      </c>
      <c r="AU50" s="72">
        <v>5.6595903086647468E-7</v>
      </c>
      <c r="AV50" s="77" t="s">
        <v>11</v>
      </c>
      <c r="AY50" s="1" t="s">
        <v>43</v>
      </c>
      <c r="AZ50" s="1" t="s">
        <v>43</v>
      </c>
      <c r="BA50" s="1" t="s">
        <v>43</v>
      </c>
      <c r="BB50" s="1" t="s">
        <v>43</v>
      </c>
      <c r="BC50" s="1" t="s">
        <v>43</v>
      </c>
      <c r="BD50" s="1"/>
      <c r="BS50" s="21"/>
      <c r="CB50" s="55" t="s">
        <v>38</v>
      </c>
      <c r="CC50" s="73">
        <v>5.2376706496895784E-6</v>
      </c>
      <c r="CD50" s="77" t="s">
        <v>11</v>
      </c>
      <c r="CG50" s="1" t="s">
        <v>43</v>
      </c>
      <c r="CH50" s="1" t="s">
        <v>43</v>
      </c>
      <c r="CI50" s="1" t="s">
        <v>43</v>
      </c>
      <c r="CJ50" s="1" t="s">
        <v>43</v>
      </c>
      <c r="CK50" s="1" t="s">
        <v>43</v>
      </c>
      <c r="CL50" s="1"/>
    </row>
    <row r="51" spans="3:90" x14ac:dyDescent="0.35">
      <c r="C51" s="21"/>
      <c r="Q51" s="56">
        <f>MAX(Q11,Q19,Q26,Q32,Q37,Q43)</f>
        <v>6514.423240000001</v>
      </c>
      <c r="R51" s="56">
        <f t="shared" ref="R51:U51" si="216">MAX(R11,R19,R26,R32,R37,R43)</f>
        <v>1753.5512607412386</v>
      </c>
      <c r="S51" s="56">
        <f t="shared" si="216"/>
        <v>8.2679745007412383E-9</v>
      </c>
      <c r="T51" s="56">
        <f t="shared" si="216"/>
        <v>1.0178347501269448E-8</v>
      </c>
      <c r="U51" s="56">
        <f t="shared" si="216"/>
        <v>1.9103730005282094E-9</v>
      </c>
      <c r="V51" s="56"/>
      <c r="AK51" s="21"/>
      <c r="AY51" s="56">
        <f>MAX(AY11,AY19,AY26,AY32,AY37,AY43)</f>
        <v>6514.423240000001</v>
      </c>
      <c r="AZ51" s="56">
        <f t="shared" ref="AZ51:BC51" si="217">MAX(AZ11,AZ19,AZ26,AZ32,AZ37,AZ43)</f>
        <v>1753.5512607412386</v>
      </c>
      <c r="BA51" s="56">
        <f t="shared" si="217"/>
        <v>8.2679745007412383E-9</v>
      </c>
      <c r="BB51" s="56">
        <f t="shared" si="217"/>
        <v>3.6503927362024155E-9</v>
      </c>
      <c r="BC51" s="56">
        <f t="shared" si="217"/>
        <v>-1.5322936856725393E-9</v>
      </c>
      <c r="BD51" s="56"/>
      <c r="BS51" s="21"/>
      <c r="CG51" s="56">
        <f>MAX(CG11,CG19,CG26,CG32,CG37,CG43)</f>
        <v>6514.423240000001</v>
      </c>
      <c r="CH51" s="56">
        <f t="shared" ref="CH51:CK51" si="218">MAX(CH11,CH19,CH26,CH32,CH37,CH43)</f>
        <v>1753.5512607412386</v>
      </c>
      <c r="CI51" s="56">
        <f t="shared" si="218"/>
        <v>8.2679745007412383E-9</v>
      </c>
      <c r="CJ51" s="56">
        <f t="shared" si="218"/>
        <v>3.3782577627528409E-8</v>
      </c>
      <c r="CK51" s="56">
        <f t="shared" si="218"/>
        <v>2.551460312678717E-8</v>
      </c>
      <c r="CL51" s="56"/>
    </row>
    <row r="52" spans="3:90" x14ac:dyDescent="0.35">
      <c r="C52" s="22"/>
      <c r="AK52" s="22"/>
      <c r="BS52" s="22"/>
    </row>
    <row r="53" spans="3:90" x14ac:dyDescent="0.35">
      <c r="C53" s="22"/>
      <c r="AK53" s="22"/>
      <c r="BS53" s="22"/>
    </row>
    <row r="54" spans="3:90" x14ac:dyDescent="0.35">
      <c r="C54" s="22"/>
    </row>
    <row r="55" spans="3:90" x14ac:dyDescent="0.35">
      <c r="C55" s="22"/>
    </row>
    <row r="56" spans="3:90" x14ac:dyDescent="0.35">
      <c r="C56" s="22"/>
    </row>
    <row r="57" spans="3:90" x14ac:dyDescent="0.35">
      <c r="C57" s="21"/>
    </row>
  </sheetData>
  <mergeCells count="18">
    <mergeCell ref="BJ39:BJ45"/>
    <mergeCell ref="BQ2:BZ2"/>
    <mergeCell ref="CB2:CK2"/>
    <mergeCell ref="CN2:CW2"/>
    <mergeCell ref="E30:E36"/>
    <mergeCell ref="AM30:AM36"/>
    <mergeCell ref="BU30:BU36"/>
    <mergeCell ref="AB31:AB37"/>
    <mergeCell ref="BJ31:BJ37"/>
    <mergeCell ref="CR31:CR37"/>
    <mergeCell ref="A1:AG1"/>
    <mergeCell ref="AI1:BI1"/>
    <mergeCell ref="A2:J2"/>
    <mergeCell ref="L2:U2"/>
    <mergeCell ref="X2:AG2"/>
    <mergeCell ref="AI2:AR2"/>
    <mergeCell ref="AT2:BC2"/>
    <mergeCell ref="BF2:BO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05123-4B1C-4EC1-BD9A-8E8A087DB5B2}">
  <dimension ref="A1:CW58"/>
  <sheetViews>
    <sheetView topLeftCell="A37" zoomScale="64" workbookViewId="0">
      <selection activeCell="A42" sqref="A42:E59"/>
    </sheetView>
  </sheetViews>
  <sheetFormatPr defaultRowHeight="14.5" x14ac:dyDescent="0.35"/>
  <cols>
    <col min="1" max="1" width="24.54296875" customWidth="1"/>
    <col min="2" max="2" width="12.54296875" customWidth="1"/>
    <col min="3" max="3" width="20.08984375" bestFit="1" customWidth="1"/>
    <col min="4" max="4" width="13.6328125" bestFit="1" customWidth="1"/>
    <col min="5" max="5" width="21.453125" bestFit="1" customWidth="1"/>
    <col min="6" max="6" width="22" customWidth="1"/>
    <col min="7" max="7" width="23" customWidth="1"/>
    <col min="8" max="9" width="19.54296875" customWidth="1"/>
    <col min="10" max="10" width="16.26953125" customWidth="1"/>
    <col min="11" max="11" width="8.81640625" customWidth="1"/>
    <col min="12" max="12" width="8.7265625" customWidth="1"/>
    <col min="13" max="13" width="10.6328125" customWidth="1"/>
    <col min="14" max="15" width="16.1796875" customWidth="1"/>
    <col min="16" max="16" width="20.81640625" customWidth="1"/>
    <col min="17" max="17" width="15.6328125" customWidth="1"/>
    <col min="18" max="18" width="16.90625" customWidth="1"/>
    <col min="19" max="19" width="18.7265625" customWidth="1"/>
    <col min="20" max="20" width="18.90625" customWidth="1"/>
    <col min="21" max="21" width="16.453125" customWidth="1"/>
    <col min="22" max="22" width="5.90625" customWidth="1"/>
    <col min="23" max="23" width="8.08984375" customWidth="1"/>
    <col min="25" max="25" width="9.90625" customWidth="1"/>
    <col min="26" max="26" width="16" customWidth="1"/>
    <col min="27" max="27" width="14.7265625" customWidth="1"/>
    <col min="28" max="28" width="21.26953125" customWidth="1"/>
    <col min="29" max="29" width="22.36328125" customWidth="1"/>
    <col min="30" max="30" width="22.6328125" customWidth="1"/>
    <col min="31" max="32" width="19.453125" customWidth="1"/>
    <col min="33" max="33" width="16.54296875" customWidth="1"/>
    <col min="34" max="34" width="16.54296875" style="9" customWidth="1"/>
    <col min="36" max="37" width="9.90625" customWidth="1"/>
    <col min="38" max="38" width="11" customWidth="1"/>
    <col min="40" max="40" width="11.1796875" customWidth="1"/>
    <col min="41" max="41" width="11.90625" customWidth="1"/>
    <col min="42" max="42" width="11.7265625" customWidth="1"/>
    <col min="43" max="43" width="10.453125" customWidth="1"/>
    <col min="44" max="44" width="10.08984375" customWidth="1"/>
    <col min="47" max="47" width="9.453125" customWidth="1"/>
    <col min="49" max="49" width="11.1796875" customWidth="1"/>
    <col min="50" max="50" width="8.90625" customWidth="1"/>
    <col min="51" max="52" width="11.36328125" customWidth="1"/>
    <col min="53" max="53" width="11.54296875" customWidth="1"/>
    <col min="54" max="54" width="11.36328125" customWidth="1"/>
    <col min="55" max="55" width="11" customWidth="1"/>
    <col min="58" max="58" width="8.90625" bestFit="1" customWidth="1"/>
    <col min="59" max="59" width="11.81640625" bestFit="1" customWidth="1"/>
    <col min="60" max="60" width="12.90625" customWidth="1"/>
    <col min="61" max="61" width="11.36328125" customWidth="1"/>
    <col min="62" max="62" width="8.90625" bestFit="1" customWidth="1"/>
    <col min="63" max="63" width="11.1796875" customWidth="1"/>
    <col min="64" max="64" width="11" customWidth="1"/>
    <col min="65" max="65" width="11.36328125" customWidth="1"/>
    <col min="66" max="66" width="10.6328125" customWidth="1"/>
    <col min="67" max="67" width="10.453125" customWidth="1"/>
    <col min="68" max="68" width="8.7265625" style="9"/>
    <col min="69" max="69" width="8.90625" bestFit="1" customWidth="1"/>
    <col min="70" max="70" width="11.81640625" bestFit="1" customWidth="1"/>
    <col min="71" max="71" width="11.08984375" bestFit="1" customWidth="1"/>
    <col min="72" max="72" width="11" customWidth="1"/>
    <col min="73" max="73" width="8.90625" bestFit="1" customWidth="1"/>
    <col min="74" max="74" width="10.26953125" customWidth="1"/>
    <col min="75" max="75" width="10.81640625" customWidth="1"/>
    <col min="76" max="76" width="11.36328125" customWidth="1"/>
    <col min="77" max="77" width="10.6328125" customWidth="1"/>
    <col min="78" max="78" width="10.81640625" customWidth="1"/>
    <col min="81" max="81" width="10.08984375" customWidth="1"/>
    <col min="83" max="83" width="10.08984375" customWidth="1"/>
    <col min="85" max="85" width="10.6328125" customWidth="1"/>
    <col min="86" max="87" width="11" customWidth="1"/>
    <col min="88" max="88" width="11.36328125" customWidth="1"/>
    <col min="93" max="93" width="10.453125" customWidth="1"/>
    <col min="97" max="97" width="11" customWidth="1"/>
    <col min="98" max="98" width="10.81640625" customWidth="1"/>
    <col min="101" max="101" width="10" customWidth="1"/>
  </cols>
  <sheetData>
    <row r="1" spans="1:101" ht="26" x14ac:dyDescent="0.6">
      <c r="A1" s="102" t="s">
        <v>33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I1" s="102" t="s">
        <v>35</v>
      </c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L1" s="25"/>
      <c r="BM1" s="25"/>
      <c r="BN1" s="25"/>
      <c r="BO1" s="25"/>
      <c r="BP1" s="30"/>
      <c r="BQ1" s="25"/>
      <c r="BR1" s="25"/>
      <c r="BS1" s="25"/>
      <c r="BT1" s="25"/>
      <c r="BU1" s="25"/>
      <c r="BV1" s="25" t="s">
        <v>34</v>
      </c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</row>
    <row r="2" spans="1:101" ht="18.5" x14ac:dyDescent="0.45">
      <c r="A2" s="103" t="s">
        <v>14</v>
      </c>
      <c r="B2" s="103"/>
      <c r="C2" s="103"/>
      <c r="D2" s="103"/>
      <c r="E2" s="103"/>
      <c r="F2" s="103"/>
      <c r="G2" s="103"/>
      <c r="H2" s="103"/>
      <c r="I2" s="103"/>
      <c r="J2" s="103"/>
      <c r="K2" s="11"/>
      <c r="L2" s="103" t="s">
        <v>15</v>
      </c>
      <c r="M2" s="103"/>
      <c r="N2" s="103"/>
      <c r="O2" s="103"/>
      <c r="P2" s="103"/>
      <c r="Q2" s="103"/>
      <c r="R2" s="103"/>
      <c r="S2" s="103"/>
      <c r="T2" s="103"/>
      <c r="U2" s="103"/>
      <c r="V2" s="20"/>
      <c r="W2" s="20"/>
      <c r="X2" s="103" t="s">
        <v>1</v>
      </c>
      <c r="Y2" s="103"/>
      <c r="Z2" s="103"/>
      <c r="AA2" s="103"/>
      <c r="AB2" s="103"/>
      <c r="AC2" s="103"/>
      <c r="AD2" s="103"/>
      <c r="AE2" s="103"/>
      <c r="AF2" s="103"/>
      <c r="AG2" s="103"/>
      <c r="AH2" s="26"/>
      <c r="AI2" s="103" t="s">
        <v>14</v>
      </c>
      <c r="AJ2" s="103"/>
      <c r="AK2" s="103"/>
      <c r="AL2" s="103"/>
      <c r="AM2" s="103"/>
      <c r="AN2" s="103"/>
      <c r="AO2" s="103"/>
      <c r="AP2" s="103"/>
      <c r="AQ2" s="103"/>
      <c r="AR2" s="103"/>
      <c r="AS2" s="11"/>
      <c r="AT2" s="103" t="s">
        <v>15</v>
      </c>
      <c r="AU2" s="103"/>
      <c r="AV2" s="103"/>
      <c r="AW2" s="103"/>
      <c r="AX2" s="103"/>
      <c r="AY2" s="103"/>
      <c r="AZ2" s="103"/>
      <c r="BA2" s="103"/>
      <c r="BB2" s="103"/>
      <c r="BC2" s="103"/>
      <c r="BD2" s="20"/>
      <c r="BE2" s="20"/>
      <c r="BF2" s="103" t="s">
        <v>1</v>
      </c>
      <c r="BG2" s="103"/>
      <c r="BH2" s="103"/>
      <c r="BI2" s="103"/>
      <c r="BJ2" s="103"/>
      <c r="BK2" s="103"/>
      <c r="BL2" s="103"/>
      <c r="BM2" s="103"/>
      <c r="BN2" s="103"/>
      <c r="BO2" s="103"/>
      <c r="BP2" s="26"/>
      <c r="BQ2" s="103" t="s">
        <v>14</v>
      </c>
      <c r="BR2" s="103"/>
      <c r="BS2" s="103"/>
      <c r="BT2" s="103"/>
      <c r="BU2" s="103"/>
      <c r="BV2" s="103"/>
      <c r="BW2" s="103"/>
      <c r="BX2" s="103"/>
      <c r="BY2" s="103"/>
      <c r="BZ2" s="103"/>
      <c r="CA2" s="11"/>
      <c r="CB2" s="103" t="s">
        <v>15</v>
      </c>
      <c r="CC2" s="103"/>
      <c r="CD2" s="103"/>
      <c r="CE2" s="103"/>
      <c r="CF2" s="103"/>
      <c r="CG2" s="103"/>
      <c r="CH2" s="103"/>
      <c r="CI2" s="103"/>
      <c r="CJ2" s="103"/>
      <c r="CK2" s="103"/>
      <c r="CL2" s="20"/>
      <c r="CM2" s="20"/>
      <c r="CN2" s="103" t="s">
        <v>1</v>
      </c>
      <c r="CO2" s="103"/>
      <c r="CP2" s="103"/>
      <c r="CQ2" s="103"/>
      <c r="CR2" s="103"/>
      <c r="CS2" s="103"/>
      <c r="CT2" s="103"/>
      <c r="CU2" s="103"/>
      <c r="CV2" s="103"/>
      <c r="CW2" s="103"/>
    </row>
    <row r="3" spans="1:101" x14ac:dyDescent="0.35">
      <c r="A3" s="18"/>
      <c r="B3" s="18"/>
      <c r="C3" s="18"/>
      <c r="D3" s="18"/>
      <c r="E3" s="18"/>
      <c r="F3" t="s">
        <v>32</v>
      </c>
      <c r="G3" t="s">
        <v>32</v>
      </c>
      <c r="H3" t="s">
        <v>32</v>
      </c>
      <c r="I3" t="s">
        <v>31</v>
      </c>
      <c r="L3" s="18"/>
      <c r="M3" s="18"/>
      <c r="N3" s="18"/>
      <c r="O3" s="18"/>
      <c r="P3" s="18"/>
      <c r="Q3" t="s">
        <v>32</v>
      </c>
      <c r="R3" t="s">
        <v>32</v>
      </c>
      <c r="S3" t="s">
        <v>32</v>
      </c>
      <c r="T3" t="s">
        <v>31</v>
      </c>
      <c r="AC3" t="s">
        <v>32</v>
      </c>
      <c r="AD3" t="s">
        <v>32</v>
      </c>
      <c r="AE3" t="s">
        <v>32</v>
      </c>
      <c r="AF3" t="s">
        <v>31</v>
      </c>
      <c r="AI3" s="18"/>
      <c r="AJ3" s="18"/>
      <c r="AK3" s="18"/>
      <c r="AL3" s="18"/>
      <c r="AM3" s="18"/>
      <c r="AN3" t="s">
        <v>32</v>
      </c>
      <c r="AO3" t="s">
        <v>32</v>
      </c>
      <c r="AP3" t="s">
        <v>32</v>
      </c>
      <c r="AQ3" t="s">
        <v>31</v>
      </c>
      <c r="AT3" s="18"/>
      <c r="AU3" s="18"/>
      <c r="AV3" s="18"/>
      <c r="AW3" s="18"/>
      <c r="AX3" s="18"/>
      <c r="AY3" t="s">
        <v>32</v>
      </c>
      <c r="AZ3" t="s">
        <v>32</v>
      </c>
      <c r="BA3" t="s">
        <v>32</v>
      </c>
      <c r="BB3" t="s">
        <v>31</v>
      </c>
      <c r="BK3" t="s">
        <v>32</v>
      </c>
      <c r="BL3" t="s">
        <v>32</v>
      </c>
      <c r="BM3" t="s">
        <v>32</v>
      </c>
      <c r="BN3" t="s">
        <v>31</v>
      </c>
      <c r="BQ3" s="18"/>
      <c r="BR3" s="18"/>
      <c r="BS3" s="18"/>
      <c r="BT3" s="18"/>
      <c r="BU3" s="18"/>
      <c r="BV3" t="s">
        <v>32</v>
      </c>
      <c r="BW3" t="s">
        <v>32</v>
      </c>
      <c r="BX3" t="s">
        <v>32</v>
      </c>
      <c r="BY3" t="s">
        <v>31</v>
      </c>
      <c r="CB3" s="18"/>
      <c r="CC3" s="18"/>
      <c r="CD3" s="18"/>
      <c r="CE3" s="18"/>
      <c r="CF3" s="18"/>
      <c r="CG3" t="s">
        <v>32</v>
      </c>
      <c r="CH3" t="s">
        <v>32</v>
      </c>
      <c r="CI3" t="s">
        <v>32</v>
      </c>
      <c r="CJ3" t="s">
        <v>31</v>
      </c>
      <c r="CS3" t="s">
        <v>32</v>
      </c>
      <c r="CT3" t="s">
        <v>32</v>
      </c>
      <c r="CU3" t="s">
        <v>32</v>
      </c>
      <c r="CV3" t="s">
        <v>31</v>
      </c>
    </row>
    <row r="4" spans="1:101" x14ac:dyDescent="0.35">
      <c r="A4" s="1" t="s">
        <v>2</v>
      </c>
      <c r="B4" s="1" t="s">
        <v>0</v>
      </c>
      <c r="C4" s="1" t="s">
        <v>28</v>
      </c>
      <c r="D4" s="1" t="s">
        <v>29</v>
      </c>
      <c r="E4" s="1" t="s">
        <v>8</v>
      </c>
      <c r="F4" s="1" t="s">
        <v>52</v>
      </c>
      <c r="G4" s="1" t="s">
        <v>51</v>
      </c>
      <c r="H4" s="1" t="s">
        <v>53</v>
      </c>
      <c r="I4" s="1" t="s">
        <v>53</v>
      </c>
      <c r="J4" s="19" t="s">
        <v>54</v>
      </c>
      <c r="K4" s="19"/>
      <c r="L4" s="1" t="s">
        <v>2</v>
      </c>
      <c r="M4" s="1" t="s">
        <v>0</v>
      </c>
      <c r="N4" s="1" t="s">
        <v>28</v>
      </c>
      <c r="O4" s="1" t="s">
        <v>29</v>
      </c>
      <c r="P4" s="1" t="s">
        <v>8</v>
      </c>
      <c r="Q4" s="1" t="s">
        <v>52</v>
      </c>
      <c r="R4" s="1" t="s">
        <v>51</v>
      </c>
      <c r="S4" s="1" t="s">
        <v>53</v>
      </c>
      <c r="T4" s="1" t="s">
        <v>53</v>
      </c>
      <c r="U4" s="19" t="s">
        <v>54</v>
      </c>
      <c r="V4" s="19"/>
      <c r="W4" s="19"/>
      <c r="X4" s="1" t="s">
        <v>2</v>
      </c>
      <c r="Y4" s="1" t="s">
        <v>0</v>
      </c>
      <c r="Z4" s="1" t="s">
        <v>6</v>
      </c>
      <c r="AA4" s="1" t="s">
        <v>29</v>
      </c>
      <c r="AB4" s="1" t="s">
        <v>8</v>
      </c>
      <c r="AC4" s="1" t="s">
        <v>52</v>
      </c>
      <c r="AD4" s="1" t="s">
        <v>51</v>
      </c>
      <c r="AE4" s="1" t="s">
        <v>53</v>
      </c>
      <c r="AF4" s="1" t="s">
        <v>53</v>
      </c>
      <c r="AG4" s="19" t="s">
        <v>54</v>
      </c>
      <c r="AH4" s="27"/>
      <c r="AI4" s="1" t="s">
        <v>2</v>
      </c>
      <c r="AJ4" s="1" t="s">
        <v>0</v>
      </c>
      <c r="AK4" s="1" t="s">
        <v>28</v>
      </c>
      <c r="AL4" s="1" t="s">
        <v>29</v>
      </c>
      <c r="AM4" s="1" t="s">
        <v>8</v>
      </c>
      <c r="AN4" s="1" t="s">
        <v>52</v>
      </c>
      <c r="AO4" s="1" t="s">
        <v>51</v>
      </c>
      <c r="AP4" s="1" t="s">
        <v>53</v>
      </c>
      <c r="AQ4" s="1" t="s">
        <v>53</v>
      </c>
      <c r="AR4" s="19" t="s">
        <v>54</v>
      </c>
      <c r="AS4" s="19"/>
      <c r="AT4" s="1" t="s">
        <v>2</v>
      </c>
      <c r="AU4" s="1" t="s">
        <v>0</v>
      </c>
      <c r="AV4" s="1" t="s">
        <v>28</v>
      </c>
      <c r="AW4" s="1" t="s">
        <v>29</v>
      </c>
      <c r="AX4" s="1" t="s">
        <v>8</v>
      </c>
      <c r="AY4" s="1" t="s">
        <v>52</v>
      </c>
      <c r="AZ4" s="1" t="s">
        <v>51</v>
      </c>
      <c r="BA4" s="1" t="s">
        <v>53</v>
      </c>
      <c r="BB4" s="1" t="s">
        <v>53</v>
      </c>
      <c r="BC4" s="19" t="s">
        <v>54</v>
      </c>
      <c r="BD4" s="19"/>
      <c r="BE4" s="19"/>
      <c r="BF4" s="1" t="s">
        <v>2</v>
      </c>
      <c r="BG4" s="1" t="s">
        <v>0</v>
      </c>
      <c r="BH4" s="1" t="s">
        <v>6</v>
      </c>
      <c r="BI4" s="1" t="s">
        <v>29</v>
      </c>
      <c r="BJ4" s="1" t="s">
        <v>8</v>
      </c>
      <c r="BK4" s="1" t="s">
        <v>52</v>
      </c>
      <c r="BL4" s="1" t="s">
        <v>51</v>
      </c>
      <c r="BM4" s="1" t="s">
        <v>53</v>
      </c>
      <c r="BN4" s="1" t="s">
        <v>53</v>
      </c>
      <c r="BO4" s="19" t="s">
        <v>54</v>
      </c>
      <c r="BP4" s="27"/>
      <c r="BQ4" s="1" t="s">
        <v>2</v>
      </c>
      <c r="BR4" s="1" t="s">
        <v>0</v>
      </c>
      <c r="BS4" s="1" t="s">
        <v>28</v>
      </c>
      <c r="BT4" s="1" t="s">
        <v>29</v>
      </c>
      <c r="BU4" s="1" t="s">
        <v>8</v>
      </c>
      <c r="BV4" s="1" t="s">
        <v>52</v>
      </c>
      <c r="BW4" s="1" t="s">
        <v>51</v>
      </c>
      <c r="BX4" s="1" t="s">
        <v>53</v>
      </c>
      <c r="BY4" s="1" t="s">
        <v>53</v>
      </c>
      <c r="BZ4" s="19" t="s">
        <v>54</v>
      </c>
      <c r="CA4" s="19"/>
      <c r="CB4" s="1" t="s">
        <v>2</v>
      </c>
      <c r="CC4" s="1" t="s">
        <v>0</v>
      </c>
      <c r="CD4" s="1" t="s">
        <v>28</v>
      </c>
      <c r="CE4" s="1" t="s">
        <v>29</v>
      </c>
      <c r="CF4" s="1" t="s">
        <v>8</v>
      </c>
      <c r="CG4" s="1" t="s">
        <v>52</v>
      </c>
      <c r="CH4" s="1" t="s">
        <v>51</v>
      </c>
      <c r="CI4" s="1" t="s">
        <v>53</v>
      </c>
      <c r="CJ4" s="1" t="s">
        <v>53</v>
      </c>
      <c r="CK4" s="19" t="s">
        <v>54</v>
      </c>
      <c r="CL4" s="19"/>
      <c r="CM4" s="19"/>
      <c r="CN4" s="1" t="s">
        <v>2</v>
      </c>
      <c r="CO4" s="1" t="s">
        <v>0</v>
      </c>
      <c r="CP4" s="1" t="s">
        <v>6</v>
      </c>
      <c r="CQ4" s="1" t="s">
        <v>29</v>
      </c>
      <c r="CR4" s="1" t="s">
        <v>8</v>
      </c>
      <c r="CS4" s="1" t="s">
        <v>52</v>
      </c>
      <c r="CT4" s="1" t="s">
        <v>51</v>
      </c>
      <c r="CU4" s="1" t="s">
        <v>53</v>
      </c>
      <c r="CV4" s="1" t="s">
        <v>53</v>
      </c>
      <c r="CW4" s="19" t="s">
        <v>54</v>
      </c>
    </row>
    <row r="5" spans="1:101" x14ac:dyDescent="0.35">
      <c r="A5">
        <v>2024</v>
      </c>
      <c r="B5" t="s">
        <v>3</v>
      </c>
      <c r="C5">
        <f>280252.16</f>
        <v>280252.15999999997</v>
      </c>
      <c r="D5" s="8">
        <v>6435150000</v>
      </c>
      <c r="L5">
        <v>2024</v>
      </c>
      <c r="M5" t="s">
        <v>3</v>
      </c>
      <c r="N5">
        <v>269291.34999999998</v>
      </c>
      <c r="O5">
        <v>5700361652.1890001</v>
      </c>
      <c r="X5">
        <v>2024</v>
      </c>
      <c r="Y5" t="s">
        <v>24</v>
      </c>
      <c r="Z5">
        <v>1693315.6099999994</v>
      </c>
      <c r="AA5" s="8">
        <v>27701673233.189003</v>
      </c>
      <c r="AI5">
        <v>2024</v>
      </c>
      <c r="AJ5" t="s">
        <v>3</v>
      </c>
      <c r="AK5">
        <f>280252.16</f>
        <v>280252.15999999997</v>
      </c>
      <c r="AL5" s="8">
        <v>6435150000</v>
      </c>
      <c r="AT5">
        <v>2024</v>
      </c>
      <c r="AU5" t="s">
        <v>3</v>
      </c>
      <c r="AV5">
        <v>269291.34999999998</v>
      </c>
      <c r="AW5">
        <v>5700361652.1890001</v>
      </c>
      <c r="BF5">
        <v>2024</v>
      </c>
      <c r="BG5" t="s">
        <v>24</v>
      </c>
      <c r="BH5">
        <v>1693315.6099999994</v>
      </c>
      <c r="BI5" s="8">
        <v>27701673233.189003</v>
      </c>
      <c r="BQ5">
        <v>2024</v>
      </c>
      <c r="BR5" t="s">
        <v>3</v>
      </c>
      <c r="BS5">
        <f>280252.16</f>
        <v>280252.15999999997</v>
      </c>
      <c r="BT5" s="8">
        <v>6435150000</v>
      </c>
      <c r="CB5">
        <v>2024</v>
      </c>
      <c r="CC5" t="s">
        <v>3</v>
      </c>
      <c r="CD5">
        <v>269291.34999999998</v>
      </c>
      <c r="CE5">
        <v>5700361652.1890001</v>
      </c>
      <c r="CN5">
        <v>2024</v>
      </c>
      <c r="CO5" t="s">
        <v>24</v>
      </c>
      <c r="CP5">
        <v>1693315.6099999994</v>
      </c>
      <c r="CQ5" s="8">
        <v>27701673233.189003</v>
      </c>
    </row>
    <row r="6" spans="1:101" x14ac:dyDescent="0.35">
      <c r="B6" t="s">
        <v>4</v>
      </c>
      <c r="C6">
        <f>276267.53</f>
        <v>276267.53000000003</v>
      </c>
      <c r="D6" s="8">
        <v>6422130000</v>
      </c>
      <c r="E6">
        <v>1519.17</v>
      </c>
      <c r="F6" s="8">
        <f>D6*$B$36</f>
        <v>447622.46100000001</v>
      </c>
      <c r="G6" s="8">
        <f>D6*E6*$B$35</f>
        <v>729666.96126668516</v>
      </c>
      <c r="H6" s="8">
        <f>SUM(F6:G6)*0.000000000001</f>
        <v>1.1772894222666852E-6</v>
      </c>
      <c r="I6" s="8">
        <f>D6*$B$37*0.000000000001</f>
        <v>1.5442168504294497E-7</v>
      </c>
      <c r="J6" s="8"/>
      <c r="K6" s="8"/>
      <c r="M6" t="s">
        <v>16</v>
      </c>
      <c r="N6" s="12">
        <v>96758.74</v>
      </c>
      <c r="O6" s="8">
        <v>2659900000</v>
      </c>
      <c r="P6">
        <v>4900.57</v>
      </c>
      <c r="Q6" s="8">
        <f>O6*$M$49</f>
        <v>185395.03</v>
      </c>
      <c r="R6" s="8">
        <f>O6*P6*$M$48</f>
        <v>974879.90994184406</v>
      </c>
      <c r="S6" s="8">
        <f>SUM(Q6:R6)*0.000000000001</f>
        <v>1.1602749399418439E-6</v>
      </c>
      <c r="T6" s="8">
        <f>O6*$M$50*0.000000000001</f>
        <v>3.0819205227386273E-7</v>
      </c>
      <c r="W6" t="s">
        <v>42</v>
      </c>
      <c r="Y6" t="s">
        <v>1</v>
      </c>
      <c r="Z6">
        <f>Z5-(N5+C5)</f>
        <v>1143772.0999999994</v>
      </c>
      <c r="AA6" s="8">
        <f>AA5-(O5+D5)</f>
        <v>15566161581.000004</v>
      </c>
      <c r="AB6" s="2">
        <v>38.352499999999999</v>
      </c>
      <c r="AC6" s="8">
        <f>AA6*$Y$38</f>
        <v>1084961.4621957003</v>
      </c>
      <c r="AD6" s="8">
        <f>AA6*AB6*$Y$37</f>
        <v>44649.276605915555</v>
      </c>
      <c r="AE6" s="8">
        <f>SUM(AC6:AD6)*0.000000000001</f>
        <v>1.1296107388016158E-6</v>
      </c>
      <c r="AF6" s="8">
        <f>AA6*$Y$39*0.000000000001</f>
        <v>1.167569892739001E-6</v>
      </c>
      <c r="AG6" s="8">
        <f>AF6-AE6</f>
        <v>3.7959153937385159E-8</v>
      </c>
      <c r="AH6" s="10"/>
      <c r="AJ6" t="s">
        <v>4</v>
      </c>
      <c r="AK6">
        <f>276267.53</f>
        <v>276267.53000000003</v>
      </c>
      <c r="AL6" s="8">
        <v>6422130000</v>
      </c>
      <c r="AM6">
        <v>1519.17</v>
      </c>
      <c r="AN6" s="8">
        <f>AL6*AJ$36</f>
        <v>447622.46100000001</v>
      </c>
      <c r="AO6" s="8">
        <f>AL6*AM6*AJ$35</f>
        <v>729666.96126668516</v>
      </c>
      <c r="AP6" s="8">
        <f>SUM(AN6:AO6)*0.000000000001</f>
        <v>1.1772894222666852E-6</v>
      </c>
      <c r="AQ6" s="8">
        <f>AL6*AJ$37*0.000000000001</f>
        <v>1.3215071794972795E-7</v>
      </c>
      <c r="AR6" s="8"/>
      <c r="AS6" s="8"/>
      <c r="AU6" t="s">
        <v>16</v>
      </c>
      <c r="AV6" s="12">
        <v>96758.74</v>
      </c>
      <c r="AW6" s="8">
        <v>2659900000</v>
      </c>
      <c r="AX6">
        <v>4900.57</v>
      </c>
      <c r="AY6" s="8">
        <f>AW6*AU$49</f>
        <v>185395.03</v>
      </c>
      <c r="AZ6" s="8">
        <f>AW6*AX6*AU$48</f>
        <v>974879.90994184406</v>
      </c>
      <c r="BA6" s="8">
        <f>SUM(AY6:AZ6)*0.000000000001</f>
        <v>1.1602749399418439E-6</v>
      </c>
      <c r="BB6" s="8">
        <f>AW6*AU$50*0.000000000001</f>
        <v>2.9492444576758229E-7</v>
      </c>
      <c r="BE6" t="s">
        <v>42</v>
      </c>
      <c r="BG6" t="s">
        <v>1</v>
      </c>
      <c r="BH6">
        <f>BH5-(AV5+AK5)</f>
        <v>1143772.0999999994</v>
      </c>
      <c r="BI6" s="8">
        <f>BI5-(AW5+AL5)</f>
        <v>15566161581.000004</v>
      </c>
      <c r="BJ6" s="2">
        <v>38.352499999999999</v>
      </c>
      <c r="BK6" s="8">
        <f>BI6*BG$38</f>
        <v>1084961.4621957003</v>
      </c>
      <c r="BL6" s="8">
        <f>BI6*BJ6*BG$37</f>
        <v>44649.276605915555</v>
      </c>
      <c r="BM6" s="8">
        <f>SUM(BK6:BL6)*0.000000000001</f>
        <v>1.1296107388016158E-6</v>
      </c>
      <c r="BN6" s="8">
        <f>BI6*BG$39*0.000000000001</f>
        <v>1.0002729991880889E-6</v>
      </c>
      <c r="BO6" s="8">
        <f>BN6-BM6</f>
        <v>-1.293377396135269E-7</v>
      </c>
      <c r="BP6" s="10"/>
      <c r="BR6" t="s">
        <v>4</v>
      </c>
      <c r="BS6">
        <f>276267.53</f>
        <v>276267.53000000003</v>
      </c>
      <c r="BT6" s="8">
        <v>6422130000</v>
      </c>
      <c r="BU6">
        <v>1519.17</v>
      </c>
      <c r="BV6" s="91">
        <f>BT6*BR$36</f>
        <v>447622.46100000001</v>
      </c>
      <c r="BW6" s="91">
        <f>BT6*BU6*BR$35</f>
        <v>729666.96126668516</v>
      </c>
      <c r="BX6" s="91">
        <f>SUM(BV6:BW6)*0.000000000001</f>
        <v>1.1772894222666852E-6</v>
      </c>
      <c r="BY6" s="91">
        <f>BT6*BR$37*0.000000000001</f>
        <v>1.8955397163567025E-7</v>
      </c>
      <c r="BZ6" s="8"/>
      <c r="CA6" s="8"/>
      <c r="CC6" t="s">
        <v>16</v>
      </c>
      <c r="CD6" s="12">
        <v>96758.74</v>
      </c>
      <c r="CE6" s="8">
        <v>2659900000</v>
      </c>
      <c r="CF6">
        <v>4900.57</v>
      </c>
      <c r="CG6" s="91">
        <f t="shared" ref="CG6:CG10" si="0">CE6*CC$49</f>
        <v>185395.03</v>
      </c>
      <c r="CH6" s="91">
        <f t="shared" ref="CH6:CH10" si="1">CE6*CF6*CC$48</f>
        <v>974879.90994184406</v>
      </c>
      <c r="CI6" s="91">
        <f t="shared" ref="CI6:CI10" si="2">SUM(CG6:CH6)*0.000000000001</f>
        <v>1.1602749399418439E-6</v>
      </c>
      <c r="CJ6" s="91">
        <f t="shared" ref="CJ6:CJ10" si="3">CE6*CC$50*0.000000000001</f>
        <v>3.2606556388987593E-7</v>
      </c>
      <c r="CM6" t="s">
        <v>42</v>
      </c>
      <c r="CO6" t="s">
        <v>1</v>
      </c>
      <c r="CP6">
        <f>CP5-(CD5+BS5)</f>
        <v>1143772.0999999994</v>
      </c>
      <c r="CQ6" s="8">
        <f>CQ5-(CE5+BT5)</f>
        <v>15566161581.000004</v>
      </c>
      <c r="CR6" s="2">
        <v>38.352499999999999</v>
      </c>
      <c r="CS6" s="91">
        <f t="shared" ref="CS6:CS8" si="4">CQ6*CO$38</f>
        <v>1084961.4621957003</v>
      </c>
      <c r="CT6" s="91">
        <f t="shared" ref="CT6:CT8" si="5">CQ6*CR6*CO$37</f>
        <v>44649.276605915555</v>
      </c>
      <c r="CU6" s="91">
        <f t="shared" ref="CU6:CU8" si="6">SUM(CS6:CT6)*0.000000000001</f>
        <v>1.1296107388016158E-6</v>
      </c>
      <c r="CV6" s="91">
        <f t="shared" ref="CV6:CV8" si="7">CQ6*CO$39*0.000000000001</f>
        <v>1.3915821933509984E-6</v>
      </c>
      <c r="CW6" s="8">
        <f>CV6-CU6</f>
        <v>2.6197145454938259E-7</v>
      </c>
    </row>
    <row r="7" spans="1:101" x14ac:dyDescent="0.35">
      <c r="B7" t="s">
        <v>5</v>
      </c>
      <c r="C7">
        <f>2060.63</f>
        <v>2060.63</v>
      </c>
      <c r="D7" s="8">
        <v>6626980</v>
      </c>
      <c r="E7" s="2">
        <v>5203.3100000000004</v>
      </c>
      <c r="F7" s="8">
        <f>D7*$B$36</f>
        <v>461.90050600000001</v>
      </c>
      <c r="G7" s="8">
        <f>D7*E7*$B$35</f>
        <v>2578.9004317490139</v>
      </c>
      <c r="H7" s="8">
        <f>SUM(F7:G7)*0.000000000001</f>
        <v>3.0408009377490138E-9</v>
      </c>
      <c r="I7" s="8">
        <f>D7*$B$37*0.000000000001</f>
        <v>1.5934735334630342E-10</v>
      </c>
      <c r="J7" s="8"/>
      <c r="K7" s="8"/>
      <c r="M7" t="s">
        <v>17</v>
      </c>
      <c r="N7" s="12">
        <v>69050.75</v>
      </c>
      <c r="O7" s="8">
        <v>1289010000</v>
      </c>
      <c r="P7">
        <v>10024.9</v>
      </c>
      <c r="Q7" s="8">
        <f t="shared" ref="Q7:Q10" si="8">O7*$M$49</f>
        <v>89843.997000000003</v>
      </c>
      <c r="R7" s="8">
        <f t="shared" ref="R7:R10" si="9">O7*P7*$M$48</f>
        <v>966441.45357000583</v>
      </c>
      <c r="S7" s="8">
        <f t="shared" ref="S7:S10" si="10">SUM(Q7:R7)*0.000000000001</f>
        <v>1.0562854505700058E-6</v>
      </c>
      <c r="T7" s="8">
        <f t="shared" ref="T7:T10" si="11">O7*$M$50*0.000000000001</f>
        <v>1.493524708829399E-7</v>
      </c>
      <c r="W7" t="s">
        <v>47</v>
      </c>
      <c r="Y7" t="s">
        <v>1</v>
      </c>
      <c r="Z7">
        <v>1143772.0999999994</v>
      </c>
      <c r="AA7" s="8">
        <v>15566161581.000004</v>
      </c>
      <c r="AB7" s="2">
        <v>3240</v>
      </c>
      <c r="AC7" s="8">
        <f t="shared" ref="AC7:AC8" si="12">AA7*$Y$38</f>
        <v>1084961.4621957003</v>
      </c>
      <c r="AD7" s="8">
        <f t="shared" ref="AD7:AD8" si="13">AA7*AB7*$Y$37</f>
        <v>3771948.5353801297</v>
      </c>
      <c r="AE7" s="8">
        <f t="shared" ref="AE7:AE8" si="14">SUM(AC7:AD7)*0.000000000001</f>
        <v>4.8569099975758297E-6</v>
      </c>
      <c r="AF7" s="8">
        <f t="shared" ref="AF7:AF8" si="15">AA7*$Y$39*0.000000000001</f>
        <v>1.167569892739001E-6</v>
      </c>
      <c r="AG7" s="8">
        <f t="shared" ref="AG7:AG8" si="16">AF7-AE7</f>
        <v>-3.6893401048368289E-6</v>
      </c>
      <c r="AH7" s="10"/>
      <c r="AJ7" t="s">
        <v>5</v>
      </c>
      <c r="AK7">
        <f>2060.63</f>
        <v>2060.63</v>
      </c>
      <c r="AL7" s="8">
        <v>6626980</v>
      </c>
      <c r="AM7" s="2">
        <v>5203.3100000000004</v>
      </c>
      <c r="AN7" s="91">
        <f>AL7*AJ$36</f>
        <v>461.90050600000001</v>
      </c>
      <c r="AO7" s="91">
        <f>AL7*AM7*AJ$35</f>
        <v>2578.9004317490139</v>
      </c>
      <c r="AP7" s="91">
        <f>SUM(AN7:AO7)*0.000000000001</f>
        <v>3.0408009377490138E-9</v>
      </c>
      <c r="AQ7" s="91">
        <f>AL7*AJ$37*0.000000000001</f>
        <v>1.3636599770457593E-10</v>
      </c>
      <c r="AR7" s="8"/>
      <c r="AS7" s="8"/>
      <c r="AU7" t="s">
        <v>17</v>
      </c>
      <c r="AV7" s="12">
        <v>69050.75</v>
      </c>
      <c r="AW7" s="8">
        <v>1289010000</v>
      </c>
      <c r="AX7">
        <v>10024.9</v>
      </c>
      <c r="AY7" s="91">
        <f t="shared" ref="AY7:AY10" si="17">AW7*AU$49</f>
        <v>89843.997000000003</v>
      </c>
      <c r="AZ7" s="91">
        <f t="shared" ref="AZ7:AZ10" si="18">AW7*AX7*AU$48</f>
        <v>966441.45357000583</v>
      </c>
      <c r="BA7" s="91">
        <f t="shared" ref="BA7:BA10" si="19">SUM(AY7:AZ7)*0.000000000001</f>
        <v>1.0562854505700058E-6</v>
      </c>
      <c r="BB7" s="91">
        <f t="shared" ref="BB7:BB10" si="20">AW7*AU$50*0.000000000001</f>
        <v>1.4292287673930268E-7</v>
      </c>
      <c r="BE7" t="s">
        <v>47</v>
      </c>
      <c r="BG7" t="s">
        <v>1</v>
      </c>
      <c r="BH7">
        <v>1143772.0999999994</v>
      </c>
      <c r="BI7" s="8">
        <v>15566161581.000004</v>
      </c>
      <c r="BJ7" s="2">
        <v>3240</v>
      </c>
      <c r="BK7" s="91">
        <f t="shared" ref="BK7:BK8" si="21">BI7*BG$38</f>
        <v>1084961.4621957003</v>
      </c>
      <c r="BL7" s="91">
        <f t="shared" ref="BL7:BL8" si="22">BI7*BJ7*BG$37</f>
        <v>3771948.5353801297</v>
      </c>
      <c r="BM7" s="91">
        <f t="shared" ref="BM7:BM8" si="23">SUM(BK7:BL7)*0.000000000001</f>
        <v>4.8569099975758297E-6</v>
      </c>
      <c r="BN7" s="91">
        <f t="shared" ref="BN7:BN8" si="24">BI7*BG$39*0.000000000001</f>
        <v>1.0002729991880889E-6</v>
      </c>
      <c r="BO7" s="8">
        <f t="shared" ref="BO7:BO8" si="25">BN7-BM7</f>
        <v>-3.8566369983877406E-6</v>
      </c>
      <c r="BP7" s="10"/>
      <c r="BR7" t="s">
        <v>5</v>
      </c>
      <c r="BS7">
        <f>2060.63</f>
        <v>2060.63</v>
      </c>
      <c r="BT7" s="8">
        <v>6626980</v>
      </c>
      <c r="BU7" s="2">
        <v>5203.3100000000004</v>
      </c>
      <c r="BV7" s="91">
        <f>BT7*BR$36</f>
        <v>461.90050600000001</v>
      </c>
      <c r="BW7" s="91">
        <f>BT7*BU7*BR$35</f>
        <v>2578.9004317490139</v>
      </c>
      <c r="BX7" s="91">
        <f>SUM(BV7:BW7)*0.000000000001</f>
        <v>3.0408009377490138E-9</v>
      </c>
      <c r="BY7" s="91">
        <f>BT7*BR$37*0.000000000001</f>
        <v>1.9560027264321249E-10</v>
      </c>
      <c r="BZ7" s="8"/>
      <c r="CA7" s="8"/>
      <c r="CC7" t="s">
        <v>17</v>
      </c>
      <c r="CD7" s="12">
        <v>69050.75</v>
      </c>
      <c r="CE7" s="8">
        <v>1289010000</v>
      </c>
      <c r="CF7">
        <v>10024.9</v>
      </c>
      <c r="CG7" s="91">
        <f t="shared" si="0"/>
        <v>89843.997000000003</v>
      </c>
      <c r="CH7" s="91">
        <f t="shared" si="1"/>
        <v>966441.45357000583</v>
      </c>
      <c r="CI7" s="91">
        <f t="shared" si="2"/>
        <v>1.0562854505700058E-6</v>
      </c>
      <c r="CJ7" s="91">
        <f t="shared" si="3"/>
        <v>1.5801412553467761E-7</v>
      </c>
      <c r="CM7" t="s">
        <v>47</v>
      </c>
      <c r="CO7" t="s">
        <v>1</v>
      </c>
      <c r="CP7">
        <v>1143772.0999999994</v>
      </c>
      <c r="CQ7" s="8">
        <v>15566161581.000004</v>
      </c>
      <c r="CR7" s="2">
        <v>3240</v>
      </c>
      <c r="CS7" s="91">
        <f t="shared" si="4"/>
        <v>1084961.4621957003</v>
      </c>
      <c r="CT7" s="91">
        <f t="shared" si="5"/>
        <v>3771948.5353801297</v>
      </c>
      <c r="CU7" s="91">
        <f t="shared" si="6"/>
        <v>4.8569099975758297E-6</v>
      </c>
      <c r="CV7" s="91">
        <f t="shared" si="7"/>
        <v>1.3915821933509984E-6</v>
      </c>
      <c r="CW7" s="8">
        <f t="shared" ref="CW7:CW8" si="26">CV7-CU7</f>
        <v>-3.4653278042248315E-6</v>
      </c>
    </row>
    <row r="8" spans="1:101" x14ac:dyDescent="0.35">
      <c r="B8" s="1" t="s">
        <v>27</v>
      </c>
      <c r="D8" s="8"/>
      <c r="F8" s="8">
        <f t="shared" ref="F8:G8" si="27">SUM(F6:F7)</f>
        <v>448084.36150599999</v>
      </c>
      <c r="G8" s="8">
        <f t="shared" si="27"/>
        <v>732245.86169843422</v>
      </c>
      <c r="H8" s="8">
        <f>SUM(H6:H7)</f>
        <v>1.1803302232044344E-6</v>
      </c>
      <c r="I8" s="8">
        <f>SUM(I6:I7)</f>
        <v>1.5458103239629128E-7</v>
      </c>
      <c r="J8" s="8">
        <f>I8-H8</f>
        <v>-1.025749190808143E-6</v>
      </c>
      <c r="K8" s="8"/>
      <c r="M8" t="s">
        <v>18</v>
      </c>
      <c r="N8" s="12">
        <v>53664.02</v>
      </c>
      <c r="O8" s="8">
        <v>1443590000</v>
      </c>
      <c r="P8">
        <v>4511.93</v>
      </c>
      <c r="Q8" s="8">
        <f t="shared" si="8"/>
        <v>100618.223</v>
      </c>
      <c r="R8" s="8">
        <f t="shared" si="9"/>
        <v>487130.62340624811</v>
      </c>
      <c r="S8" s="8">
        <f t="shared" si="10"/>
        <v>5.8774884640624817E-7</v>
      </c>
      <c r="T8" s="8">
        <f t="shared" si="11"/>
        <v>1.6726304174669181E-7</v>
      </c>
      <c r="W8" t="s">
        <v>43</v>
      </c>
      <c r="Y8" t="s">
        <v>1</v>
      </c>
      <c r="Z8">
        <v>1143772.0999999994</v>
      </c>
      <c r="AA8">
        <v>15566161581.000004</v>
      </c>
      <c r="AB8">
        <v>19095.3</v>
      </c>
      <c r="AC8" s="8">
        <f t="shared" si="12"/>
        <v>1084961.4621957003</v>
      </c>
      <c r="AD8" s="8">
        <f t="shared" si="13"/>
        <v>22230397.798655611</v>
      </c>
      <c r="AE8" s="8">
        <f t="shared" si="14"/>
        <v>2.3315359260851313E-5</v>
      </c>
      <c r="AF8" s="8">
        <f t="shared" si="15"/>
        <v>1.167569892739001E-6</v>
      </c>
      <c r="AG8" s="8">
        <f t="shared" si="16"/>
        <v>-2.2147789368112311E-5</v>
      </c>
      <c r="AH8" s="10"/>
      <c r="AJ8" s="1" t="s">
        <v>27</v>
      </c>
      <c r="AL8" s="8"/>
      <c r="AN8" s="8">
        <f t="shared" ref="AN8:AO8" si="28">SUM(AN6:AN7)</f>
        <v>448084.36150599999</v>
      </c>
      <c r="AO8" s="8">
        <f t="shared" si="28"/>
        <v>732245.86169843422</v>
      </c>
      <c r="AP8" s="8">
        <f>SUM(AP6:AP7)</f>
        <v>1.1803302232044344E-6</v>
      </c>
      <c r="AQ8" s="8">
        <f>SUM(AQ6:AQ7)</f>
        <v>1.3228708394743251E-7</v>
      </c>
      <c r="AR8" s="8">
        <f>AQ8-AP8</f>
        <v>-1.0480431392570019E-6</v>
      </c>
      <c r="AS8" s="8"/>
      <c r="AU8" t="s">
        <v>18</v>
      </c>
      <c r="AV8" s="12">
        <v>53664.02</v>
      </c>
      <c r="AW8" s="8">
        <v>1443590000</v>
      </c>
      <c r="AX8">
        <v>4511.93</v>
      </c>
      <c r="AY8" s="91">
        <f t="shared" si="17"/>
        <v>100618.223</v>
      </c>
      <c r="AZ8" s="91">
        <f t="shared" si="18"/>
        <v>487130.62340624811</v>
      </c>
      <c r="BA8" s="91">
        <f t="shared" si="19"/>
        <v>5.8774884640624817E-7</v>
      </c>
      <c r="BB8" s="91">
        <f t="shared" si="20"/>
        <v>1.6006240109238095E-7</v>
      </c>
      <c r="BE8" t="s">
        <v>43</v>
      </c>
      <c r="BG8" t="s">
        <v>1</v>
      </c>
      <c r="BH8">
        <v>1143772.0999999994</v>
      </c>
      <c r="BI8">
        <v>15566161581.000004</v>
      </c>
      <c r="BJ8">
        <v>19095.3</v>
      </c>
      <c r="BK8" s="91">
        <f t="shared" si="21"/>
        <v>1084961.4621957003</v>
      </c>
      <c r="BL8" s="91">
        <f t="shared" si="22"/>
        <v>22230397.798655611</v>
      </c>
      <c r="BM8" s="91">
        <f t="shared" si="23"/>
        <v>2.3315359260851313E-5</v>
      </c>
      <c r="BN8" s="91">
        <f t="shared" si="24"/>
        <v>1.0002729991880889E-6</v>
      </c>
      <c r="BO8" s="8">
        <f t="shared" si="25"/>
        <v>-2.2315086261663223E-5</v>
      </c>
      <c r="BP8" s="10"/>
      <c r="BR8" s="1" t="s">
        <v>27</v>
      </c>
      <c r="BT8" s="8"/>
      <c r="BV8" s="8">
        <f t="shared" ref="BV8:BW8" si="29">SUM(BV6:BV7)</f>
        <v>448084.36150599999</v>
      </c>
      <c r="BW8" s="8">
        <f t="shared" si="29"/>
        <v>732245.86169843422</v>
      </c>
      <c r="BX8" s="8">
        <f>SUM(BX6:BX7)</f>
        <v>1.1803302232044344E-6</v>
      </c>
      <c r="BY8" s="8">
        <f>SUM(BY6:BY7)</f>
        <v>1.8974957190831347E-7</v>
      </c>
      <c r="BZ8" s="8">
        <f>BY8-BX8</f>
        <v>-9.9058065129612092E-7</v>
      </c>
      <c r="CA8" s="8"/>
      <c r="CC8" t="s">
        <v>18</v>
      </c>
      <c r="CD8" s="12">
        <v>53664.02</v>
      </c>
      <c r="CE8" s="8">
        <v>1443590000</v>
      </c>
      <c r="CF8">
        <v>4511.93</v>
      </c>
      <c r="CG8" s="91">
        <f t="shared" si="0"/>
        <v>100618.223</v>
      </c>
      <c r="CH8" s="91">
        <f t="shared" si="1"/>
        <v>487130.62340624811</v>
      </c>
      <c r="CI8" s="91">
        <f t="shared" si="2"/>
        <v>5.8774884640624817E-7</v>
      </c>
      <c r="CJ8" s="91">
        <f t="shared" si="3"/>
        <v>1.7696341493130795E-7</v>
      </c>
      <c r="CM8" t="s">
        <v>43</v>
      </c>
      <c r="CO8" t="s">
        <v>1</v>
      </c>
      <c r="CP8">
        <v>1143772.0999999994</v>
      </c>
      <c r="CQ8">
        <v>15566161581.000004</v>
      </c>
      <c r="CR8">
        <v>19095.3</v>
      </c>
      <c r="CS8" s="91">
        <f t="shared" si="4"/>
        <v>1084961.4621957003</v>
      </c>
      <c r="CT8" s="91">
        <f t="shared" si="5"/>
        <v>22230397.798655611</v>
      </c>
      <c r="CU8" s="91">
        <f t="shared" si="6"/>
        <v>2.3315359260851313E-5</v>
      </c>
      <c r="CV8" s="91">
        <f t="shared" si="7"/>
        <v>1.3915821933509984E-6</v>
      </c>
      <c r="CW8" s="8">
        <f t="shared" si="26"/>
        <v>-2.1923777067500315E-5</v>
      </c>
    </row>
    <row r="9" spans="1:101" x14ac:dyDescent="0.35">
      <c r="A9">
        <v>2023</v>
      </c>
      <c r="B9" t="s">
        <v>3</v>
      </c>
      <c r="C9">
        <f>273291.5</f>
        <v>273291.5</v>
      </c>
      <c r="D9" s="8" t="s">
        <v>7</v>
      </c>
      <c r="M9" t="s">
        <v>19</v>
      </c>
      <c r="N9" s="12">
        <v>5064.8999999999996</v>
      </c>
      <c r="O9" s="8">
        <v>157695000</v>
      </c>
      <c r="P9">
        <v>13389.8</v>
      </c>
      <c r="Q9" s="8">
        <f t="shared" si="8"/>
        <v>10991.3415</v>
      </c>
      <c r="R9" s="8">
        <f t="shared" si="9"/>
        <v>157917.85186644236</v>
      </c>
      <c r="S9" s="8">
        <f t="shared" si="10"/>
        <v>1.6890919336644237E-7</v>
      </c>
      <c r="T9" s="8">
        <f t="shared" si="11"/>
        <v>1.8271493546120827E-8</v>
      </c>
      <c r="X9">
        <v>2023</v>
      </c>
      <c r="Y9" t="s">
        <v>24</v>
      </c>
      <c r="Z9">
        <v>1879083.3799999987</v>
      </c>
      <c r="AA9" s="8">
        <v>36631689794.419991</v>
      </c>
      <c r="AI9">
        <v>2023</v>
      </c>
      <c r="AJ9" t="s">
        <v>3</v>
      </c>
      <c r="AK9">
        <f>273291.5</f>
        <v>273291.5</v>
      </c>
      <c r="AL9" s="8" t="s">
        <v>7</v>
      </c>
      <c r="AU9" t="s">
        <v>19</v>
      </c>
      <c r="AV9" s="12">
        <v>5064.8999999999996</v>
      </c>
      <c r="AW9" s="8">
        <v>157695000</v>
      </c>
      <c r="AX9">
        <v>13389.8</v>
      </c>
      <c r="AY9" s="91">
        <f t="shared" si="17"/>
        <v>10991.3415</v>
      </c>
      <c r="AZ9" s="91">
        <f t="shared" si="18"/>
        <v>157917.85186644236</v>
      </c>
      <c r="BA9" s="91">
        <f t="shared" si="19"/>
        <v>1.6890919336644237E-7</v>
      </c>
      <c r="BB9" s="91">
        <f t="shared" si="20"/>
        <v>1.7484909385811075E-8</v>
      </c>
      <c r="BF9">
        <v>2023</v>
      </c>
      <c r="BG9" t="s">
        <v>24</v>
      </c>
      <c r="BH9">
        <v>1879083.3799999987</v>
      </c>
      <c r="BI9" s="8">
        <v>36631689794.419991</v>
      </c>
      <c r="BQ9">
        <v>2023</v>
      </c>
      <c r="BR9" t="s">
        <v>3</v>
      </c>
      <c r="BS9">
        <f>273291.5</f>
        <v>273291.5</v>
      </c>
      <c r="BT9" s="8" t="s">
        <v>7</v>
      </c>
      <c r="CC9" t="s">
        <v>19</v>
      </c>
      <c r="CD9" s="12">
        <v>5064.8999999999996</v>
      </c>
      <c r="CE9" s="8">
        <v>157695000</v>
      </c>
      <c r="CF9">
        <v>13389.8</v>
      </c>
      <c r="CG9" s="91">
        <f t="shared" si="0"/>
        <v>10991.3415</v>
      </c>
      <c r="CH9" s="91">
        <f t="shared" si="1"/>
        <v>157917.85186644236</v>
      </c>
      <c r="CI9" s="91">
        <f t="shared" si="2"/>
        <v>1.6890919336644237E-7</v>
      </c>
      <c r="CJ9" s="91">
        <f t="shared" si="3"/>
        <v>1.9331143688715361E-8</v>
      </c>
      <c r="CN9">
        <v>2023</v>
      </c>
      <c r="CO9" t="s">
        <v>24</v>
      </c>
      <c r="CP9">
        <v>1879083.3799999987</v>
      </c>
      <c r="CQ9" s="8">
        <v>36631689794.419991</v>
      </c>
    </row>
    <row r="10" spans="1:101" ht="15" thickBot="1" x14ac:dyDescent="0.4">
      <c r="B10" t="s">
        <v>4</v>
      </c>
      <c r="C10">
        <f>268813.66</f>
        <v>268813.65999999997</v>
      </c>
      <c r="D10" s="13">
        <v>5918180000</v>
      </c>
      <c r="E10">
        <v>1519.17</v>
      </c>
      <c r="F10" s="8">
        <f>D10*$B$36</f>
        <v>412497.14600000001</v>
      </c>
      <c r="G10" s="8">
        <f>D10*E10*$B$35</f>
        <v>672409.37458900257</v>
      </c>
      <c r="H10" s="8">
        <f>SUM(F10:G10)*0.000000000001</f>
        <v>1.0849065205890027E-6</v>
      </c>
      <c r="I10" s="8">
        <f>D10*$B$37*0.000000000001</f>
        <v>1.4230408415704074E-7</v>
      </c>
      <c r="J10" s="8"/>
      <c r="K10" s="8"/>
      <c r="M10" t="s">
        <v>20</v>
      </c>
      <c r="N10" s="12">
        <v>2239.1799999999998</v>
      </c>
      <c r="O10" s="8">
        <v>77530100</v>
      </c>
      <c r="P10">
        <v>13090.6</v>
      </c>
      <c r="Q10" s="8">
        <f t="shared" si="8"/>
        <v>5403.8479699999998</v>
      </c>
      <c r="R10" s="8">
        <f t="shared" si="9"/>
        <v>75904.777387053065</v>
      </c>
      <c r="S10" s="8">
        <f t="shared" si="10"/>
        <v>8.1308625357053061E-8</v>
      </c>
      <c r="T10" s="8">
        <f t="shared" si="11"/>
        <v>8.9831048655956265E-9</v>
      </c>
      <c r="W10" t="s">
        <v>42</v>
      </c>
      <c r="Y10" t="s">
        <v>1</v>
      </c>
      <c r="Z10">
        <f>Z9-(C9+N12)</f>
        <v>1274124.8299999987</v>
      </c>
      <c r="AA10" s="8">
        <f>AA9-(O12+D13)</f>
        <v>24527849794.419991</v>
      </c>
      <c r="AB10" s="2">
        <v>38.352499999999999</v>
      </c>
      <c r="AC10" s="8">
        <f>AA10*$Y$38</f>
        <v>1709591.1306710734</v>
      </c>
      <c r="AD10" s="8">
        <f>AA10*AB10*$Y$37</f>
        <v>70354.579343191712</v>
      </c>
      <c r="AE10" s="8">
        <f>SUM(AC10:AD10)*0.000000000001</f>
        <v>1.7799457100142652E-6</v>
      </c>
      <c r="AF10" s="8">
        <f>AA10*$Y$39*0.000000000001</f>
        <v>1.8397585560556356E-6</v>
      </c>
      <c r="AG10" s="8">
        <f>AF10-AE10</f>
        <v>5.9812846041370417E-8</v>
      </c>
      <c r="AH10" s="10"/>
      <c r="AJ10" t="s">
        <v>4</v>
      </c>
      <c r="AK10">
        <f>268813.66</f>
        <v>268813.65999999997</v>
      </c>
      <c r="AL10" s="13">
        <v>5918180000</v>
      </c>
      <c r="AM10">
        <v>1519.17</v>
      </c>
      <c r="AN10" s="91">
        <f>AL10*AJ$36</f>
        <v>412497.14600000001</v>
      </c>
      <c r="AO10" s="91">
        <f>AL10*AM10*AJ$35</f>
        <v>672409.37458900257</v>
      </c>
      <c r="AP10" s="91">
        <f>SUM(AN10:AO10)*0.000000000001</f>
        <v>1.0849065205890027E-6</v>
      </c>
      <c r="AQ10" s="91">
        <f>AL10*AJ$37*0.000000000001</f>
        <v>1.2178073878226087E-7</v>
      </c>
      <c r="AR10" s="8"/>
      <c r="AS10" s="8"/>
      <c r="AU10" t="s">
        <v>20</v>
      </c>
      <c r="AV10" s="12">
        <v>2239.1799999999998</v>
      </c>
      <c r="AW10" s="8">
        <v>77530100</v>
      </c>
      <c r="AX10">
        <v>13090.6</v>
      </c>
      <c r="AY10" s="91">
        <f t="shared" si="17"/>
        <v>5403.8479699999998</v>
      </c>
      <c r="AZ10" s="91">
        <f t="shared" si="18"/>
        <v>75904.777387053065</v>
      </c>
      <c r="BA10" s="91">
        <f t="shared" si="19"/>
        <v>8.1308625357053061E-8</v>
      </c>
      <c r="BB10" s="91">
        <f t="shared" si="20"/>
        <v>8.5963839891744918E-9</v>
      </c>
      <c r="BE10" t="s">
        <v>42</v>
      </c>
      <c r="BG10" t="s">
        <v>1</v>
      </c>
      <c r="BH10">
        <f>BH9-(AK9+AV12)</f>
        <v>1274124.8299999987</v>
      </c>
      <c r="BI10" s="8">
        <f>BI9-(AW12+AL13)</f>
        <v>24527849794.419991</v>
      </c>
      <c r="BJ10" s="2">
        <v>38.352499999999999</v>
      </c>
      <c r="BK10" s="91">
        <f t="shared" ref="BK10:BK12" si="30">BI10*BG$38</f>
        <v>1709591.1306710734</v>
      </c>
      <c r="BL10" s="91">
        <f t="shared" ref="BL10:BL12" si="31">BI10*BJ10*BG$37</f>
        <v>70354.579343191712</v>
      </c>
      <c r="BM10" s="91">
        <f t="shared" ref="BM10:BM12" si="32">SUM(BK10:BL10)*0.000000000001</f>
        <v>1.7799457100142652E-6</v>
      </c>
      <c r="BN10" s="91">
        <f t="shared" ref="BN10:BN12" si="33">BI10*BG$39*0.000000000001</f>
        <v>1.5761461648609766E-6</v>
      </c>
      <c r="BO10" s="8">
        <f>BN10-BM10</f>
        <v>-2.0379954515328861E-7</v>
      </c>
      <c r="BP10" s="10"/>
      <c r="BR10" t="s">
        <v>4</v>
      </c>
      <c r="BS10">
        <f>268813.66</f>
        <v>268813.65999999997</v>
      </c>
      <c r="BT10" s="13">
        <v>5918180000</v>
      </c>
      <c r="BU10">
        <v>1519.17</v>
      </c>
      <c r="BV10" s="91">
        <f>BT10*BR$36</f>
        <v>412497.14600000001</v>
      </c>
      <c r="BW10" s="91">
        <f>BT10*BU10*BR$35</f>
        <v>672409.37458900257</v>
      </c>
      <c r="BX10" s="91">
        <f>SUM(BV10:BW10)*0.000000000001</f>
        <v>1.0849065205890027E-6</v>
      </c>
      <c r="BY10" s="91">
        <f>BT10*BR$37*0.000000000001</f>
        <v>1.7467951035790167E-7</v>
      </c>
      <c r="BZ10" s="8"/>
      <c r="CA10" s="8"/>
      <c r="CC10" t="s">
        <v>20</v>
      </c>
      <c r="CD10" s="12">
        <v>2239.1799999999998</v>
      </c>
      <c r="CE10" s="8">
        <v>77530100</v>
      </c>
      <c r="CF10">
        <v>13090.6</v>
      </c>
      <c r="CG10" s="91">
        <f t="shared" si="0"/>
        <v>5403.8479699999998</v>
      </c>
      <c r="CH10" s="91">
        <f t="shared" si="1"/>
        <v>75904.777387053065</v>
      </c>
      <c r="CI10" s="91">
        <f t="shared" si="2"/>
        <v>8.1308625357053061E-8</v>
      </c>
      <c r="CJ10" s="91">
        <f t="shared" si="3"/>
        <v>9.5040775122893613E-9</v>
      </c>
      <c r="CM10" t="s">
        <v>42</v>
      </c>
      <c r="CO10" t="s">
        <v>1</v>
      </c>
      <c r="CP10">
        <f>CP9-(BS9+CD12)</f>
        <v>1274124.8299999987</v>
      </c>
      <c r="CQ10" s="8">
        <f>CQ9-(CE12+BT13)</f>
        <v>24527849794.419991</v>
      </c>
      <c r="CR10" s="2">
        <v>38.352499999999999</v>
      </c>
      <c r="CS10" s="91">
        <f t="shared" ref="CS10:CS12" si="34">CQ10*CO$38</f>
        <v>1709591.1306710734</v>
      </c>
      <c r="CT10" s="91">
        <f t="shared" ref="CT10:CT12" si="35">CQ10*CR10*CO$37</f>
        <v>70354.579343191712</v>
      </c>
      <c r="CU10" s="91">
        <f t="shared" ref="CU10:CU12" si="36">SUM(CS10:CT10)*0.000000000001</f>
        <v>1.7799457100142652E-6</v>
      </c>
      <c r="CV10" s="91">
        <f t="shared" ref="CV10:CV12" si="37">CQ10*CO$39*0.000000000001</f>
        <v>2.1927383213575802E-6</v>
      </c>
      <c r="CW10" s="8">
        <f>CV10-CU10</f>
        <v>4.1279261134331503E-7</v>
      </c>
    </row>
    <row r="11" spans="1:101" ht="15" thickBot="1" x14ac:dyDescent="0.4">
      <c r="B11" t="s">
        <v>5</v>
      </c>
      <c r="C11">
        <f>2805.04</f>
        <v>2805.04</v>
      </c>
      <c r="D11" s="14">
        <v>6985000</v>
      </c>
      <c r="E11" s="2">
        <v>5203.3100000000004</v>
      </c>
      <c r="F11" s="8">
        <f>D11*$B$36</f>
        <v>486.85449999999997</v>
      </c>
      <c r="G11" s="8">
        <f>D11*E11*$B$35</f>
        <v>2718.2245179202082</v>
      </c>
      <c r="H11" s="8">
        <f>SUM(F11:G11)*0.000000000001</f>
        <v>3.2050790179202082E-9</v>
      </c>
      <c r="I11" s="8">
        <f>D11*$B$37*0.000000000001</f>
        <v>1.6795603172545099E-10</v>
      </c>
      <c r="J11" s="8"/>
      <c r="K11" s="8"/>
      <c r="M11" s="1" t="s">
        <v>27</v>
      </c>
      <c r="Q11" s="8">
        <f>SUM(Q6:Q10)</f>
        <v>392252.43946999998</v>
      </c>
      <c r="R11" s="8">
        <f t="shared" ref="R11:T11" si="38">SUM(R6:R10)</f>
        <v>2662274.6161715933</v>
      </c>
      <c r="S11" s="8">
        <f t="shared" si="38"/>
        <v>3.0545270556415937E-6</v>
      </c>
      <c r="T11" s="8">
        <f t="shared" si="38"/>
        <v>6.5206216331521086E-7</v>
      </c>
      <c r="U11" s="8">
        <f>T11-S11</f>
        <v>-2.402464892326383E-6</v>
      </c>
      <c r="V11" s="8"/>
      <c r="W11" t="s">
        <v>47</v>
      </c>
      <c r="Y11" t="s">
        <v>1</v>
      </c>
      <c r="Z11">
        <v>1274124.8299999987</v>
      </c>
      <c r="AA11" s="8">
        <v>24527849794.419991</v>
      </c>
      <c r="AB11" s="2">
        <v>3240</v>
      </c>
      <c r="AC11" s="8">
        <f t="shared" ref="AC11:AC12" si="39">AA11*$Y$38</f>
        <v>1709591.1306710734</v>
      </c>
      <c r="AD11" s="8">
        <f t="shared" ref="AD11:AD12" si="40">AA11*AB11*$Y$37</f>
        <v>5943519.6420556968</v>
      </c>
      <c r="AE11" s="8">
        <f t="shared" ref="AE11:AE12" si="41">SUM(AC11:AD11)*0.000000000001</f>
        <v>7.6531107727267705E-6</v>
      </c>
      <c r="AF11" s="8">
        <f t="shared" ref="AF11:AF12" si="42">AA11*$Y$39*0.000000000001</f>
        <v>1.8397585560556356E-6</v>
      </c>
      <c r="AG11" s="8">
        <f t="shared" ref="AG11:AG12" si="43">AF11-AE11</f>
        <v>-5.8133522166711351E-6</v>
      </c>
      <c r="AH11" s="10"/>
      <c r="AJ11" t="s">
        <v>5</v>
      </c>
      <c r="AK11">
        <f>2805.04</f>
        <v>2805.04</v>
      </c>
      <c r="AL11" s="14">
        <v>6985000</v>
      </c>
      <c r="AM11" s="2">
        <v>5203.3100000000004</v>
      </c>
      <c r="AN11" s="91">
        <f>AL11*AJ$36</f>
        <v>486.85449999999997</v>
      </c>
      <c r="AO11" s="91">
        <f>AL11*AM11*AJ$35</f>
        <v>2718.2245179202082</v>
      </c>
      <c r="AP11" s="91">
        <f>SUM(AN11:AO11)*0.000000000001</f>
        <v>3.2050790179202082E-9</v>
      </c>
      <c r="AQ11" s="91">
        <f>AL11*AJ$37*0.000000000001</f>
        <v>1.437331173425094E-10</v>
      </c>
      <c r="AR11" s="8"/>
      <c r="AS11" s="8"/>
      <c r="AU11" s="1" t="s">
        <v>27</v>
      </c>
      <c r="AY11" s="8">
        <f>SUM(AY6:AY10)</f>
        <v>392252.43946999998</v>
      </c>
      <c r="AZ11" s="8">
        <f t="shared" ref="AZ11:BB11" si="44">SUM(AZ6:AZ10)</f>
        <v>2662274.6161715933</v>
      </c>
      <c r="BA11" s="8">
        <f t="shared" si="44"/>
        <v>3.0545270556415937E-6</v>
      </c>
      <c r="BB11" s="8">
        <f t="shared" si="44"/>
        <v>6.2399101697425147E-7</v>
      </c>
      <c r="BC11" s="8">
        <f>BB11-BA11</f>
        <v>-2.430536038667342E-6</v>
      </c>
      <c r="BD11" s="8"/>
      <c r="BE11" t="s">
        <v>47</v>
      </c>
      <c r="BG11" t="s">
        <v>1</v>
      </c>
      <c r="BH11">
        <v>1274124.8299999987</v>
      </c>
      <c r="BI11" s="8">
        <v>24527849794.419991</v>
      </c>
      <c r="BJ11" s="2">
        <v>3240</v>
      </c>
      <c r="BK11" s="91">
        <f t="shared" si="30"/>
        <v>1709591.1306710734</v>
      </c>
      <c r="BL11" s="91">
        <f t="shared" si="31"/>
        <v>5943519.6420556968</v>
      </c>
      <c r="BM11" s="91">
        <f t="shared" si="32"/>
        <v>7.6531107727267705E-6</v>
      </c>
      <c r="BN11" s="91">
        <f t="shared" si="33"/>
        <v>1.5761461648609766E-6</v>
      </c>
      <c r="BO11" s="8">
        <f t="shared" ref="BO11:BO12" si="45">BN11-BM11</f>
        <v>-6.0769646078657944E-6</v>
      </c>
      <c r="BP11" s="10"/>
      <c r="BR11" t="s">
        <v>5</v>
      </c>
      <c r="BS11">
        <f>2805.04</f>
        <v>2805.04</v>
      </c>
      <c r="BT11" s="14">
        <v>6985000</v>
      </c>
      <c r="BU11" s="2">
        <v>5203.3100000000004</v>
      </c>
      <c r="BV11" s="91">
        <f>BT11*BR$36</f>
        <v>486.85449999999997</v>
      </c>
      <c r="BW11" s="91">
        <f>BT11*BU11*BR$35</f>
        <v>2718.2245179202082</v>
      </c>
      <c r="BX11" s="91">
        <f>SUM(BV11:BW11)*0.000000000001</f>
        <v>3.2050790179202082E-9</v>
      </c>
      <c r="BY11" s="91">
        <f>BT11*BR$37*0.000000000001</f>
        <v>2.0616750079415349E-10</v>
      </c>
      <c r="BZ11" s="8"/>
      <c r="CA11" s="8"/>
      <c r="CC11" s="1" t="s">
        <v>27</v>
      </c>
      <c r="CG11" s="8">
        <f>SUM(CG6:CG10)</f>
        <v>392252.43946999998</v>
      </c>
      <c r="CH11" s="8">
        <f t="shared" ref="CH11:CJ11" si="46">SUM(CH6:CH10)</f>
        <v>2662274.6161715933</v>
      </c>
      <c r="CI11" s="8">
        <f t="shared" si="46"/>
        <v>3.0545270556415937E-6</v>
      </c>
      <c r="CJ11" s="8">
        <f t="shared" si="46"/>
        <v>6.8987832555686624E-7</v>
      </c>
      <c r="CK11" s="8">
        <f>CJ11-CI11</f>
        <v>-2.3646487300847276E-6</v>
      </c>
      <c r="CL11" s="8"/>
      <c r="CM11" t="s">
        <v>47</v>
      </c>
      <c r="CO11" t="s">
        <v>1</v>
      </c>
      <c r="CP11">
        <v>1274124.8299999987</v>
      </c>
      <c r="CQ11" s="8">
        <v>24527849794.419991</v>
      </c>
      <c r="CR11" s="2">
        <v>3240</v>
      </c>
      <c r="CS11" s="91">
        <f t="shared" si="34"/>
        <v>1709591.1306710734</v>
      </c>
      <c r="CT11" s="91">
        <f t="shared" si="35"/>
        <v>5943519.6420556968</v>
      </c>
      <c r="CU11" s="91">
        <f t="shared" si="36"/>
        <v>7.6531107727267705E-6</v>
      </c>
      <c r="CV11" s="91">
        <f t="shared" si="37"/>
        <v>2.1927383213575802E-6</v>
      </c>
      <c r="CW11" s="8">
        <f t="shared" ref="CW11:CW12" si="47">CV11-CU11</f>
        <v>-5.4603724513691899E-6</v>
      </c>
    </row>
    <row r="12" spans="1:101" ht="15" thickBot="1" x14ac:dyDescent="0.4">
      <c r="B12" s="1" t="s">
        <v>27</v>
      </c>
      <c r="D12" s="8"/>
      <c r="F12" s="8">
        <f t="shared" ref="F12:G12" si="48">SUM(F10:F11)</f>
        <v>412984.00050000002</v>
      </c>
      <c r="G12" s="8">
        <f t="shared" si="48"/>
        <v>675127.59910692275</v>
      </c>
      <c r="H12" s="8">
        <f>SUM(H10:H11)</f>
        <v>1.0881115996069229E-6</v>
      </c>
      <c r="I12" s="8">
        <f>SUM(I10:I11)</f>
        <v>1.4247204018876618E-7</v>
      </c>
      <c r="J12" s="8">
        <f>I12-H12</f>
        <v>-9.4563955941815669E-7</v>
      </c>
      <c r="K12" s="8"/>
      <c r="L12">
        <v>2023</v>
      </c>
      <c r="M12" t="s">
        <v>22</v>
      </c>
      <c r="N12">
        <v>331667.05</v>
      </c>
      <c r="O12" s="8">
        <v>6497940000</v>
      </c>
      <c r="W12" t="s">
        <v>43</v>
      </c>
      <c r="Y12" t="s">
        <v>1</v>
      </c>
      <c r="Z12">
        <v>1274124.8299999987</v>
      </c>
      <c r="AA12">
        <v>24527849794.419991</v>
      </c>
      <c r="AB12">
        <v>19095.3</v>
      </c>
      <c r="AC12" s="8">
        <f t="shared" si="39"/>
        <v>1709591.1306710734</v>
      </c>
      <c r="AD12" s="8">
        <f t="shared" si="40"/>
        <v>35028793.401526585</v>
      </c>
      <c r="AE12" s="8">
        <f t="shared" si="41"/>
        <v>3.6738384532197662E-5</v>
      </c>
      <c r="AF12" s="8">
        <f t="shared" si="42"/>
        <v>1.8397585560556356E-6</v>
      </c>
      <c r="AG12" s="8">
        <f t="shared" si="43"/>
        <v>-3.4898625976142026E-5</v>
      </c>
      <c r="AH12" s="10"/>
      <c r="AJ12" s="1" t="s">
        <v>27</v>
      </c>
      <c r="AL12" s="8"/>
      <c r="AN12" s="8">
        <f t="shared" ref="AN12:AO12" si="49">SUM(AN10:AN11)</f>
        <v>412984.00050000002</v>
      </c>
      <c r="AO12" s="8">
        <f t="shared" si="49"/>
        <v>675127.59910692275</v>
      </c>
      <c r="AP12" s="8">
        <f>SUM(AP10:AP11)</f>
        <v>1.0881115996069229E-6</v>
      </c>
      <c r="AQ12" s="8">
        <f>SUM(AQ10:AQ11)</f>
        <v>1.2192447189960337E-7</v>
      </c>
      <c r="AR12" s="8">
        <f>AQ12-AP12</f>
        <v>-9.6618712770731947E-7</v>
      </c>
      <c r="AS12" s="8"/>
      <c r="AT12">
        <v>2023</v>
      </c>
      <c r="AU12" t="s">
        <v>22</v>
      </c>
      <c r="AV12">
        <v>331667.05</v>
      </c>
      <c r="AW12" s="8">
        <v>6497940000</v>
      </c>
      <c r="BE12" t="s">
        <v>43</v>
      </c>
      <c r="BG12" t="s">
        <v>1</v>
      </c>
      <c r="BH12">
        <v>1274124.8299999987</v>
      </c>
      <c r="BI12">
        <v>24527849794.419991</v>
      </c>
      <c r="BJ12">
        <v>19095.3</v>
      </c>
      <c r="BK12" s="91">
        <f t="shared" si="30"/>
        <v>1709591.1306710734</v>
      </c>
      <c r="BL12" s="91">
        <f t="shared" si="31"/>
        <v>35028793.401526585</v>
      </c>
      <c r="BM12" s="91">
        <f t="shared" si="32"/>
        <v>3.6738384532197662E-5</v>
      </c>
      <c r="BN12" s="91">
        <f t="shared" si="33"/>
        <v>1.5761461648609766E-6</v>
      </c>
      <c r="BO12" s="8">
        <f t="shared" si="45"/>
        <v>-3.5162238367336686E-5</v>
      </c>
      <c r="BP12" s="10"/>
      <c r="BR12" s="1" t="s">
        <v>27</v>
      </c>
      <c r="BT12" s="8"/>
      <c r="BV12" s="8">
        <f t="shared" ref="BV12:BW12" si="50">SUM(BV10:BV11)</f>
        <v>412984.00050000002</v>
      </c>
      <c r="BW12" s="8">
        <f t="shared" si="50"/>
        <v>675127.59910692275</v>
      </c>
      <c r="BX12" s="8">
        <f>SUM(BX10:BX11)</f>
        <v>1.0881115996069229E-6</v>
      </c>
      <c r="BY12" s="8">
        <f>SUM(BY10:BY11)</f>
        <v>1.7488567785869581E-7</v>
      </c>
      <c r="BZ12" s="8">
        <f>BY12-BX12</f>
        <v>-9.1322592174822709E-7</v>
      </c>
      <c r="CA12" s="8"/>
      <c r="CB12">
        <v>2023</v>
      </c>
      <c r="CC12" t="s">
        <v>22</v>
      </c>
      <c r="CD12">
        <v>331667.05</v>
      </c>
      <c r="CE12" s="8">
        <v>6497940000</v>
      </c>
      <c r="CM12" t="s">
        <v>43</v>
      </c>
      <c r="CO12" t="s">
        <v>1</v>
      </c>
      <c r="CP12">
        <v>1274124.8299999987</v>
      </c>
      <c r="CQ12">
        <v>24527849794.419991</v>
      </c>
      <c r="CR12">
        <v>19095.3</v>
      </c>
      <c r="CS12" s="91">
        <f t="shared" si="34"/>
        <v>1709591.1306710734</v>
      </c>
      <c r="CT12" s="91">
        <f t="shared" si="35"/>
        <v>35028793.401526585</v>
      </c>
      <c r="CU12" s="91">
        <f t="shared" si="36"/>
        <v>3.6738384532197662E-5</v>
      </c>
      <c r="CV12" s="91">
        <f t="shared" si="37"/>
        <v>2.1927383213575802E-6</v>
      </c>
      <c r="CW12" s="8">
        <f t="shared" si="47"/>
        <v>-3.4545646210840083E-5</v>
      </c>
    </row>
    <row r="13" spans="1:101" ht="15" thickBot="1" x14ac:dyDescent="0.4">
      <c r="A13">
        <v>2022</v>
      </c>
      <c r="B13" t="s">
        <v>3</v>
      </c>
      <c r="C13" s="6">
        <f>250154.5</f>
        <v>250154.5</v>
      </c>
      <c r="D13" s="13">
        <v>5605900000</v>
      </c>
      <c r="M13" t="s">
        <v>17</v>
      </c>
      <c r="N13">
        <v>108262.64</v>
      </c>
      <c r="O13" s="8">
        <v>1760010000</v>
      </c>
      <c r="P13">
        <v>10024.9</v>
      </c>
      <c r="Q13" s="8">
        <f>O13*$M$49</f>
        <v>122672.697</v>
      </c>
      <c r="R13" s="8">
        <f>O13*P13*$M$48</f>
        <v>1319575.9712475047</v>
      </c>
      <c r="S13" s="8">
        <f>SUM(Q13:R13)*0.000000000001</f>
        <v>1.4422486682475046E-6</v>
      </c>
      <c r="T13" s="8">
        <f>O13*$M$50*0.000000000001</f>
        <v>2.0392537084947599E-7</v>
      </c>
      <c r="X13">
        <v>2022</v>
      </c>
      <c r="Y13" t="s">
        <v>24</v>
      </c>
      <c r="Z13">
        <v>1781736.8100000012</v>
      </c>
      <c r="AA13" s="8">
        <v>32802798737.869999</v>
      </c>
      <c r="AI13">
        <v>2022</v>
      </c>
      <c r="AJ13" t="s">
        <v>3</v>
      </c>
      <c r="AK13" s="6">
        <f>250154.5</f>
        <v>250154.5</v>
      </c>
      <c r="AL13" s="13">
        <v>5605900000</v>
      </c>
      <c r="AU13" t="s">
        <v>17</v>
      </c>
      <c r="AV13">
        <v>108262.64</v>
      </c>
      <c r="AW13" s="8">
        <v>1760010000</v>
      </c>
      <c r="AX13">
        <v>10024.9</v>
      </c>
      <c r="AY13" s="91">
        <f t="shared" ref="AY13:AY18" si="51">AW13*AU$49</f>
        <v>122672.697</v>
      </c>
      <c r="AZ13" s="91">
        <f t="shared" ref="AZ13:AZ18" si="52">AW13*AX13*AU$48</f>
        <v>1319575.9712475047</v>
      </c>
      <c r="BA13" s="91">
        <f t="shared" ref="BA13:BA18" si="53">SUM(AY13:AZ13)*0.000000000001</f>
        <v>1.4422486682475046E-6</v>
      </c>
      <c r="BB13" s="91">
        <f t="shared" ref="BB13:BB18" si="54">AW13*AU$50*0.000000000001</f>
        <v>1.9514642422474621E-7</v>
      </c>
      <c r="BF13">
        <v>2022</v>
      </c>
      <c r="BG13" t="s">
        <v>24</v>
      </c>
      <c r="BH13">
        <v>1781736.8100000012</v>
      </c>
      <c r="BI13" s="8">
        <v>32802798737.869999</v>
      </c>
      <c r="BQ13">
        <v>2022</v>
      </c>
      <c r="BR13" t="s">
        <v>3</v>
      </c>
      <c r="BS13" s="6">
        <f>250154.5</f>
        <v>250154.5</v>
      </c>
      <c r="BT13" s="13">
        <v>5605900000</v>
      </c>
      <c r="CC13" t="s">
        <v>17</v>
      </c>
      <c r="CD13">
        <v>108262.64</v>
      </c>
      <c r="CE13" s="8">
        <v>1760010000</v>
      </c>
      <c r="CF13">
        <v>10024.9</v>
      </c>
      <c r="CG13" s="91">
        <f t="shared" ref="CG13:CG18" si="55">CE13*CC$49</f>
        <v>122672.697</v>
      </c>
      <c r="CH13" s="91">
        <f t="shared" ref="CH13:CH18" si="56">CE13*CF13*CC$48</f>
        <v>1319575.9712475047</v>
      </c>
      <c r="CI13" s="91">
        <f t="shared" ref="CI13:CI18" si="57">SUM(CG13:CH13)*0.000000000001</f>
        <v>1.4422486682475046E-6</v>
      </c>
      <c r="CJ13" s="91">
        <f t="shared" ref="CJ13:CJ18" si="58">CE13*CC$50*0.000000000001</f>
        <v>2.1575196552570419E-7</v>
      </c>
      <c r="CN13">
        <v>2022</v>
      </c>
      <c r="CO13" t="s">
        <v>24</v>
      </c>
      <c r="CP13">
        <v>1781736.8100000012</v>
      </c>
      <c r="CQ13" s="8">
        <v>32802798737.869999</v>
      </c>
    </row>
    <row r="14" spans="1:101" ht="15" thickBot="1" x14ac:dyDescent="0.4">
      <c r="B14" t="s">
        <v>4</v>
      </c>
      <c r="C14" s="5">
        <f>243422.45</f>
        <v>243422.45</v>
      </c>
      <c r="D14" s="14">
        <v>5566560000</v>
      </c>
      <c r="E14">
        <v>1519.17</v>
      </c>
      <c r="F14" s="8">
        <f>D14*$B$36</f>
        <v>387989.23200000002</v>
      </c>
      <c r="G14" s="8">
        <f>D14*E14*$B$35</f>
        <v>632459.15606016689</v>
      </c>
      <c r="H14" s="8">
        <f>SUM(F14:G14)*0.000000000001</f>
        <v>1.0204483880601669E-6</v>
      </c>
      <c r="I14" s="8">
        <f>D14*$B$37*0.000000000001</f>
        <v>1.338492953416788E-7</v>
      </c>
      <c r="J14" s="8"/>
      <c r="K14" s="8"/>
      <c r="M14" t="s">
        <v>16</v>
      </c>
      <c r="N14">
        <v>88031.64</v>
      </c>
      <c r="O14" s="8">
        <v>2077560000</v>
      </c>
      <c r="P14">
        <v>4900.57</v>
      </c>
      <c r="Q14" s="8">
        <f t="shared" ref="Q14:Q18" si="59">O14*$M$49</f>
        <v>144805.932</v>
      </c>
      <c r="R14" s="8">
        <f t="shared" ref="R14:R18" si="60">O14*P14*$M$48</f>
        <v>761446.48509296495</v>
      </c>
      <c r="S14" s="8">
        <f t="shared" ref="S14:S18" si="61">SUM(Q14:R14)*0.000000000001</f>
        <v>9.0625241709296492E-7</v>
      </c>
      <c r="T14" s="8">
        <f t="shared" ref="T14:T18" si="62">O14*$M$50*0.000000000001</f>
        <v>2.4071862856576803E-7</v>
      </c>
      <c r="W14" t="s">
        <v>42</v>
      </c>
      <c r="Y14" t="s">
        <v>1</v>
      </c>
      <c r="Z14" s="16">
        <f>Z13-(N20+C13)</f>
        <v>1323496.0400000012</v>
      </c>
      <c r="AA14" s="8">
        <f>AA13-(O20+D13)</f>
        <v>23335498737.869999</v>
      </c>
      <c r="AB14" s="2">
        <v>38.352499999999999</v>
      </c>
      <c r="AC14" s="8">
        <f>AA14*$Y$38</f>
        <v>1626484.2620295389</v>
      </c>
      <c r="AD14" s="8">
        <f>AA14*AB14*$Y$37</f>
        <v>66934.493289335122</v>
      </c>
      <c r="AE14" s="8">
        <f>SUM(AC14:AD14)*0.000000000001</f>
        <v>1.6934187553188739E-6</v>
      </c>
      <c r="AF14" s="8">
        <f>AA14*$Y$39*0.000000000001</f>
        <v>1.7503239714305752E-6</v>
      </c>
      <c r="AG14" s="8">
        <f>AF14-AE14</f>
        <v>5.6905216111701314E-8</v>
      </c>
      <c r="AH14" s="10"/>
      <c r="AJ14" t="s">
        <v>4</v>
      </c>
      <c r="AK14" s="5">
        <f>243422.45</f>
        <v>243422.45</v>
      </c>
      <c r="AL14" s="14">
        <v>5566560000</v>
      </c>
      <c r="AM14">
        <v>1519.17</v>
      </c>
      <c r="AN14" s="91">
        <f>AL14*AJ$36</f>
        <v>387989.23200000002</v>
      </c>
      <c r="AO14" s="91">
        <f>AL14*AM14*AJ$35</f>
        <v>632459.15606016689</v>
      </c>
      <c r="AP14" s="91">
        <f>SUM(AN14:AO14)*0.000000000001</f>
        <v>1.0204483880601669E-6</v>
      </c>
      <c r="AQ14" s="91">
        <f>AL14*AJ$37*0.000000000001</f>
        <v>1.1454531448448375E-7</v>
      </c>
      <c r="AR14" s="8"/>
      <c r="AS14" s="8"/>
      <c r="AU14" t="s">
        <v>16</v>
      </c>
      <c r="AV14">
        <v>88031.64</v>
      </c>
      <c r="AW14" s="8">
        <v>2077560000</v>
      </c>
      <c r="AX14">
        <v>4900.57</v>
      </c>
      <c r="AY14" s="91">
        <f t="shared" si="51"/>
        <v>144805.932</v>
      </c>
      <c r="AZ14" s="91">
        <f t="shared" si="52"/>
        <v>761446.48509296495</v>
      </c>
      <c r="BA14" s="91">
        <f t="shared" si="53"/>
        <v>9.0625241709296492E-7</v>
      </c>
      <c r="BB14" s="91">
        <f t="shared" si="54"/>
        <v>2.3035573951986849E-7</v>
      </c>
      <c r="BE14" t="s">
        <v>42</v>
      </c>
      <c r="BG14" t="s">
        <v>1</v>
      </c>
      <c r="BH14" s="16">
        <f>BH13-(AV20+AK13)</f>
        <v>1323496.0400000012</v>
      </c>
      <c r="BI14" s="8">
        <f>BI13-(AW20+AL13)</f>
        <v>23335498737.869999</v>
      </c>
      <c r="BJ14" s="2">
        <v>38.352499999999999</v>
      </c>
      <c r="BK14" s="91">
        <f t="shared" ref="BK14:BK16" si="63">BI14*BG$38</f>
        <v>1626484.2620295389</v>
      </c>
      <c r="BL14" s="91">
        <f t="shared" ref="BL14:BL16" si="64">BI14*BJ14*BG$37</f>
        <v>66934.493289335122</v>
      </c>
      <c r="BM14" s="91">
        <f t="shared" ref="BM14:BM16" si="65">SUM(BK14:BL14)*0.000000000001</f>
        <v>1.6934187553188739E-6</v>
      </c>
      <c r="BN14" s="91">
        <f t="shared" ref="BN14:BN16" si="66">BI14*BG$39*0.000000000001</f>
        <v>1.4995263404287209E-6</v>
      </c>
      <c r="BO14" s="8">
        <f>BN14-BM14</f>
        <v>-1.9389241489015303E-7</v>
      </c>
      <c r="BP14" s="10"/>
      <c r="BR14" t="s">
        <v>4</v>
      </c>
      <c r="BS14" s="5">
        <f>243422.45</f>
        <v>243422.45</v>
      </c>
      <c r="BT14" s="14">
        <v>5566560000</v>
      </c>
      <c r="BU14">
        <v>1519.17</v>
      </c>
      <c r="BV14" s="91">
        <f>BT14*BR$36</f>
        <v>387989.23200000002</v>
      </c>
      <c r="BW14" s="91">
        <f>BT14*BU14*BR$35</f>
        <v>632459.15606016689</v>
      </c>
      <c r="BX14" s="91">
        <f>SUM(BV14:BW14)*0.000000000001</f>
        <v>1.0204483880601669E-6</v>
      </c>
      <c r="BY14" s="91">
        <f>BT14*BR$37*0.000000000001</f>
        <v>1.6430118299508992E-7</v>
      </c>
      <c r="BZ14" s="8"/>
      <c r="CA14" s="8"/>
      <c r="CC14" t="s">
        <v>16</v>
      </c>
      <c r="CD14">
        <v>88031.64</v>
      </c>
      <c r="CE14" s="8">
        <v>2077560000</v>
      </c>
      <c r="CF14">
        <v>4900.57</v>
      </c>
      <c r="CG14" s="91">
        <f t="shared" si="55"/>
        <v>144805.932</v>
      </c>
      <c r="CH14" s="91">
        <f t="shared" si="56"/>
        <v>761446.48509296495</v>
      </c>
      <c r="CI14" s="91">
        <f t="shared" si="57"/>
        <v>9.0625241709296492E-7</v>
      </c>
      <c r="CJ14" s="91">
        <f t="shared" si="58"/>
        <v>2.5467903790181989E-7</v>
      </c>
      <c r="CM14" t="s">
        <v>42</v>
      </c>
      <c r="CO14" t="s">
        <v>1</v>
      </c>
      <c r="CP14" s="16">
        <f>CP13-(CD20+BS13)</f>
        <v>1323496.0400000012</v>
      </c>
      <c r="CQ14" s="8">
        <f>CQ13-(CE20+BT13)</f>
        <v>23335498737.869999</v>
      </c>
      <c r="CR14" s="2">
        <v>38.352499999999999</v>
      </c>
      <c r="CS14" s="91">
        <f t="shared" ref="CS14:CS16" si="67">CQ14*CO$38</f>
        <v>1626484.2620295389</v>
      </c>
      <c r="CT14" s="91">
        <f t="shared" ref="CT14:CT16" si="68">CQ14*CR14*CO$37</f>
        <v>66934.493289335122</v>
      </c>
      <c r="CU14" s="91">
        <f t="shared" ref="CU14:CU16" si="69">SUM(CS14:CT14)*0.000000000001</f>
        <v>1.6934187553188739E-6</v>
      </c>
      <c r="CV14" s="91">
        <f t="shared" ref="CV14:CV16" si="70">CQ14*CO$39*0.000000000001</f>
        <v>2.086144638008983E-6</v>
      </c>
      <c r="CW14" s="8">
        <f>CV14-CU14</f>
        <v>3.9272588269010902E-7</v>
      </c>
    </row>
    <row r="15" spans="1:101" ht="15" thickBot="1" x14ac:dyDescent="0.4">
      <c r="B15" t="s">
        <v>5</v>
      </c>
      <c r="C15">
        <f>4945.33</f>
        <v>4945.33</v>
      </c>
      <c r="D15" s="14">
        <v>15036000</v>
      </c>
      <c r="E15" s="2">
        <v>5203.3100000000004</v>
      </c>
      <c r="F15" s="8">
        <f>D15*$B$36</f>
        <v>1048.0092</v>
      </c>
      <c r="G15" s="8">
        <f>D15*E15*$B$35</f>
        <v>5851.284731774982</v>
      </c>
      <c r="H15" s="8">
        <f>SUM(F15:G15)*0.000000000001</f>
        <v>6.8992939317749824E-9</v>
      </c>
      <c r="I15" s="8">
        <f>D15*$B$37*0.000000000001</f>
        <v>3.6154429391895221E-10</v>
      </c>
      <c r="J15" s="8"/>
      <c r="K15" s="8"/>
      <c r="M15" t="s">
        <v>18</v>
      </c>
      <c r="N15">
        <v>77439.100000000006</v>
      </c>
      <c r="O15" s="8">
        <v>2009740000</v>
      </c>
      <c r="P15">
        <v>4511.93</v>
      </c>
      <c r="Q15" s="8">
        <f t="shared" si="59"/>
        <v>140078.878</v>
      </c>
      <c r="R15" s="8">
        <f t="shared" si="60"/>
        <v>678174.48103995807</v>
      </c>
      <c r="S15" s="8">
        <f t="shared" si="61"/>
        <v>8.1825335903995811E-7</v>
      </c>
      <c r="T15" s="8">
        <f t="shared" si="62"/>
        <v>2.328605944347054E-7</v>
      </c>
      <c r="W15" t="s">
        <v>47</v>
      </c>
      <c r="Y15" t="s">
        <v>1</v>
      </c>
      <c r="Z15" s="6">
        <v>1323496.0400000012</v>
      </c>
      <c r="AA15" s="13">
        <v>23335498737.869999</v>
      </c>
      <c r="AB15" s="2">
        <v>3240</v>
      </c>
      <c r="AC15" s="8">
        <f t="shared" ref="AC15:AC16" si="71">AA15*$Y$38</f>
        <v>1626484.2620295389</v>
      </c>
      <c r="AD15" s="8">
        <f t="shared" ref="AD15:AD16" si="72">AA15*AB15*$Y$37</f>
        <v>5654592.4843868278</v>
      </c>
      <c r="AE15" s="8">
        <f t="shared" ref="AE15:AE16" si="73">SUM(AC15:AD15)*0.000000000001</f>
        <v>7.2810767464163664E-6</v>
      </c>
      <c r="AF15" s="8">
        <f t="shared" ref="AF15:AF16" si="74">AA15*$Y$39*0.000000000001</f>
        <v>1.7503239714305752E-6</v>
      </c>
      <c r="AG15" s="8">
        <f t="shared" ref="AG15:AG16" si="75">AF15-AE15</f>
        <v>-5.530752774985791E-6</v>
      </c>
      <c r="AH15" s="10"/>
      <c r="AJ15" t="s">
        <v>5</v>
      </c>
      <c r="AK15">
        <f>4945.33</f>
        <v>4945.33</v>
      </c>
      <c r="AL15" s="14">
        <v>15036000</v>
      </c>
      <c r="AM15" s="2">
        <v>5203.3100000000004</v>
      </c>
      <c r="AN15" s="91">
        <f>AL15*AJ$36</f>
        <v>1048.0092</v>
      </c>
      <c r="AO15" s="91">
        <f>AL15*AM15*AJ$35</f>
        <v>5851.284731774982</v>
      </c>
      <c r="AP15" s="91">
        <f>SUM(AN15:AO15)*0.000000000001</f>
        <v>6.8992939317749824E-9</v>
      </c>
      <c r="AQ15" s="91">
        <f>AL15*AJ$37*0.000000000001</f>
        <v>3.0940173977980978E-10</v>
      </c>
      <c r="AR15" s="8"/>
      <c r="AS15" s="8"/>
      <c r="AU15" t="s">
        <v>18</v>
      </c>
      <c r="AV15">
        <v>77439.100000000006</v>
      </c>
      <c r="AW15" s="8">
        <v>2009740000</v>
      </c>
      <c r="AX15">
        <v>4511.93</v>
      </c>
      <c r="AY15" s="91">
        <f t="shared" si="51"/>
        <v>140078.878</v>
      </c>
      <c r="AZ15" s="91">
        <f t="shared" si="52"/>
        <v>678174.48103995807</v>
      </c>
      <c r="BA15" s="91">
        <f t="shared" si="53"/>
        <v>8.1825335903995811E-7</v>
      </c>
      <c r="BB15" s="91">
        <f t="shared" si="54"/>
        <v>2.2283599219404518E-7</v>
      </c>
      <c r="BE15" t="s">
        <v>47</v>
      </c>
      <c r="BG15" t="s">
        <v>1</v>
      </c>
      <c r="BH15" s="6">
        <v>1323496.0400000012</v>
      </c>
      <c r="BI15" s="13">
        <v>23335498737.869999</v>
      </c>
      <c r="BJ15" s="2">
        <v>3240</v>
      </c>
      <c r="BK15" s="91">
        <f t="shared" si="63"/>
        <v>1626484.2620295389</v>
      </c>
      <c r="BL15" s="91">
        <f t="shared" si="64"/>
        <v>5654592.4843868278</v>
      </c>
      <c r="BM15" s="91">
        <f t="shared" si="65"/>
        <v>7.2810767464163664E-6</v>
      </c>
      <c r="BN15" s="91">
        <f t="shared" si="66"/>
        <v>1.4995263404287209E-6</v>
      </c>
      <c r="BO15" s="8">
        <f t="shared" ref="BO15:BO16" si="76">BN15-BM15</f>
        <v>-5.7815504059876457E-6</v>
      </c>
      <c r="BP15" s="10"/>
      <c r="BR15" t="s">
        <v>5</v>
      </c>
      <c r="BS15">
        <f>4945.33</f>
        <v>4945.33</v>
      </c>
      <c r="BT15" s="14">
        <v>15036000</v>
      </c>
      <c r="BU15" s="2">
        <v>5203.3100000000004</v>
      </c>
      <c r="BV15" s="91">
        <f>BT15*BR$36</f>
        <v>1048.0092</v>
      </c>
      <c r="BW15" s="91">
        <f>BT15*BU15*BR$35</f>
        <v>5851.284731774982</v>
      </c>
      <c r="BX15" s="91">
        <f>SUM(BV15:BW15)*0.000000000001</f>
        <v>6.8992939317749824E-9</v>
      </c>
      <c r="BY15" s="91">
        <f>BT15*BR$37*0.000000000001</f>
        <v>4.4379878911107966E-10</v>
      </c>
      <c r="BZ15" s="8"/>
      <c r="CA15" s="8"/>
      <c r="CC15" t="s">
        <v>18</v>
      </c>
      <c r="CD15">
        <v>77439.100000000006</v>
      </c>
      <c r="CE15" s="8">
        <v>2009740000</v>
      </c>
      <c r="CF15">
        <v>4511.93</v>
      </c>
      <c r="CG15" s="91">
        <f t="shared" si="55"/>
        <v>140078.878</v>
      </c>
      <c r="CH15" s="91">
        <f t="shared" si="56"/>
        <v>678174.48103995807</v>
      </c>
      <c r="CI15" s="91">
        <f t="shared" si="57"/>
        <v>8.1825335903995811E-7</v>
      </c>
      <c r="CJ15" s="91">
        <f t="shared" si="58"/>
        <v>2.4636527928570223E-7</v>
      </c>
      <c r="CM15" t="s">
        <v>47</v>
      </c>
      <c r="CO15" t="s">
        <v>1</v>
      </c>
      <c r="CP15" s="6">
        <v>1323496.0400000012</v>
      </c>
      <c r="CQ15" s="13">
        <v>23335498737.869999</v>
      </c>
      <c r="CR15" s="2">
        <v>3240</v>
      </c>
      <c r="CS15" s="91">
        <f t="shared" si="67"/>
        <v>1626484.2620295389</v>
      </c>
      <c r="CT15" s="91">
        <f t="shared" si="68"/>
        <v>5654592.4843868278</v>
      </c>
      <c r="CU15" s="91">
        <f t="shared" si="69"/>
        <v>7.2810767464163664E-6</v>
      </c>
      <c r="CV15" s="91">
        <f t="shared" si="70"/>
        <v>2.086144638008983E-6</v>
      </c>
      <c r="CW15" s="8">
        <f t="shared" ref="CW15:CW16" si="77">CV15-CU15</f>
        <v>-5.1949321084073839E-6</v>
      </c>
    </row>
    <row r="16" spans="1:101" ht="15" thickBot="1" x14ac:dyDescent="0.4">
      <c r="B16" s="1" t="s">
        <v>27</v>
      </c>
      <c r="D16" s="8"/>
      <c r="F16" s="8">
        <f t="shared" ref="F16:G16" si="78">SUM(F14:F15)</f>
        <v>389037.24119999999</v>
      </c>
      <c r="G16" s="8">
        <f t="shared" si="78"/>
        <v>638310.44079194183</v>
      </c>
      <c r="H16" s="8">
        <f>SUM(H14:H15)</f>
        <v>1.0273476819919418E-6</v>
      </c>
      <c r="I16" s="8">
        <f>SUM(I14:I15)</f>
        <v>1.3421083963559776E-7</v>
      </c>
      <c r="J16" s="8">
        <f>I16-H16</f>
        <v>-8.93136842356344E-7</v>
      </c>
      <c r="K16" s="8"/>
      <c r="M16" t="s">
        <v>19</v>
      </c>
      <c r="N16">
        <v>12231.81</v>
      </c>
      <c r="O16" s="8">
        <v>345305000</v>
      </c>
      <c r="P16">
        <v>13389.8</v>
      </c>
      <c r="Q16" s="8">
        <f t="shared" si="59"/>
        <v>24067.7585</v>
      </c>
      <c r="R16" s="8">
        <f t="shared" si="60"/>
        <v>345792.97909725661</v>
      </c>
      <c r="S16" s="8">
        <f t="shared" si="61"/>
        <v>3.6986073759725662E-7</v>
      </c>
      <c r="T16" s="8">
        <f t="shared" si="62"/>
        <v>4.0009119369309441E-8</v>
      </c>
      <c r="W16" t="s">
        <v>43</v>
      </c>
      <c r="Y16" t="s">
        <v>1</v>
      </c>
      <c r="Z16">
        <v>1323496.0400000012</v>
      </c>
      <c r="AA16">
        <v>23335498737.869999</v>
      </c>
      <c r="AB16">
        <v>19095.3</v>
      </c>
      <c r="AC16" s="8">
        <f t="shared" si="71"/>
        <v>1626484.2620295389</v>
      </c>
      <c r="AD16" s="8">
        <f t="shared" si="72"/>
        <v>33325969.09478759</v>
      </c>
      <c r="AE16" s="8">
        <f t="shared" si="73"/>
        <v>3.4952453356817128E-5</v>
      </c>
      <c r="AF16" s="8">
        <f t="shared" si="74"/>
        <v>1.7503239714305752E-6</v>
      </c>
      <c r="AG16" s="8">
        <f t="shared" si="75"/>
        <v>-3.3202129385386551E-5</v>
      </c>
      <c r="AH16" s="10"/>
      <c r="AJ16" s="1" t="s">
        <v>27</v>
      </c>
      <c r="AL16" s="8"/>
      <c r="AN16" s="8">
        <f t="shared" ref="AN16:AO16" si="79">SUM(AN14:AN15)</f>
        <v>389037.24119999999</v>
      </c>
      <c r="AO16" s="8">
        <f t="shared" si="79"/>
        <v>638310.44079194183</v>
      </c>
      <c r="AP16" s="8">
        <f>SUM(AP14:AP15)</f>
        <v>1.0273476819919418E-6</v>
      </c>
      <c r="AQ16" s="8">
        <f>SUM(AQ14:AQ15)</f>
        <v>1.1485471622426356E-7</v>
      </c>
      <c r="AR16" s="8">
        <f>AQ16-AP16</f>
        <v>-9.1249296576767829E-7</v>
      </c>
      <c r="AS16" s="8"/>
      <c r="AU16" t="s">
        <v>19</v>
      </c>
      <c r="AV16">
        <v>12231.81</v>
      </c>
      <c r="AW16" s="8">
        <v>345305000</v>
      </c>
      <c r="AX16">
        <v>13389.8</v>
      </c>
      <c r="AY16" s="91">
        <f t="shared" si="51"/>
        <v>24067.7585</v>
      </c>
      <c r="AZ16" s="91">
        <f t="shared" si="52"/>
        <v>345792.97909725661</v>
      </c>
      <c r="BA16" s="91">
        <f t="shared" si="53"/>
        <v>3.6986073759725662E-7</v>
      </c>
      <c r="BB16" s="91">
        <f t="shared" si="54"/>
        <v>3.8286734744078718E-8</v>
      </c>
      <c r="BE16" t="s">
        <v>43</v>
      </c>
      <c r="BG16" t="s">
        <v>1</v>
      </c>
      <c r="BH16">
        <v>1323496.0400000012</v>
      </c>
      <c r="BI16">
        <v>23335498737.869999</v>
      </c>
      <c r="BJ16">
        <v>19095.3</v>
      </c>
      <c r="BK16" s="91">
        <f t="shared" si="63"/>
        <v>1626484.2620295389</v>
      </c>
      <c r="BL16" s="91">
        <f t="shared" si="64"/>
        <v>33325969.09478759</v>
      </c>
      <c r="BM16" s="91">
        <f t="shared" si="65"/>
        <v>3.4952453356817128E-5</v>
      </c>
      <c r="BN16" s="91">
        <f t="shared" si="66"/>
        <v>1.4995263404287209E-6</v>
      </c>
      <c r="BO16" s="8">
        <f t="shared" si="76"/>
        <v>-3.3452927016388407E-5</v>
      </c>
      <c r="BP16" s="10"/>
      <c r="BR16" s="1" t="s">
        <v>27</v>
      </c>
      <c r="BT16" s="8"/>
      <c r="BV16" s="8">
        <f t="shared" ref="BV16:BW16" si="80">SUM(BV14:BV15)</f>
        <v>389037.24119999999</v>
      </c>
      <c r="BW16" s="8">
        <f t="shared" si="80"/>
        <v>638310.44079194183</v>
      </c>
      <c r="BX16" s="8">
        <f>SUM(BX14:BX15)</f>
        <v>1.0273476819919418E-6</v>
      </c>
      <c r="BY16" s="8">
        <f>SUM(BY14:BY15)</f>
        <v>1.6474498178420099E-7</v>
      </c>
      <c r="BZ16" s="8">
        <f>BY16-BX16</f>
        <v>-8.6260270020774082E-7</v>
      </c>
      <c r="CA16" s="8"/>
      <c r="CC16" t="s">
        <v>19</v>
      </c>
      <c r="CD16">
        <v>12231.81</v>
      </c>
      <c r="CE16" s="8">
        <v>345305000</v>
      </c>
      <c r="CF16">
        <v>13389.8</v>
      </c>
      <c r="CG16" s="91">
        <f t="shared" si="55"/>
        <v>24067.7585</v>
      </c>
      <c r="CH16" s="91">
        <f t="shared" si="56"/>
        <v>345792.97909725661</v>
      </c>
      <c r="CI16" s="91">
        <f t="shared" si="57"/>
        <v>3.6986073759725662E-7</v>
      </c>
      <c r="CJ16" s="91">
        <f t="shared" si="58"/>
        <v>4.2329437023569914E-8</v>
      </c>
      <c r="CM16" t="s">
        <v>43</v>
      </c>
      <c r="CO16" t="s">
        <v>1</v>
      </c>
      <c r="CP16">
        <v>1323496.0400000012</v>
      </c>
      <c r="CQ16">
        <v>23335498737.869999</v>
      </c>
      <c r="CR16">
        <v>19095.3</v>
      </c>
      <c r="CS16" s="91">
        <f t="shared" si="67"/>
        <v>1626484.2620295389</v>
      </c>
      <c r="CT16" s="91">
        <f t="shared" si="68"/>
        <v>33325969.09478759</v>
      </c>
      <c r="CU16" s="91">
        <f t="shared" si="69"/>
        <v>3.4952453356817128E-5</v>
      </c>
      <c r="CV16" s="91">
        <f t="shared" si="70"/>
        <v>2.086144638008983E-6</v>
      </c>
      <c r="CW16" s="8">
        <f t="shared" si="77"/>
        <v>-3.2866308718808147E-5</v>
      </c>
    </row>
    <row r="17" spans="1:101" ht="15" thickBot="1" x14ac:dyDescent="0.4">
      <c r="A17">
        <v>2021</v>
      </c>
      <c r="B17" t="s">
        <v>3</v>
      </c>
      <c r="C17">
        <f>226272.11</f>
        <v>226272.11</v>
      </c>
      <c r="D17" s="15">
        <v>5128620000</v>
      </c>
      <c r="E17" s="7"/>
      <c r="M17" t="s">
        <v>20</v>
      </c>
      <c r="N17">
        <v>7112.1</v>
      </c>
      <c r="O17" s="8">
        <v>192285000</v>
      </c>
      <c r="P17">
        <v>13090.6</v>
      </c>
      <c r="Q17" s="8">
        <f t="shared" si="59"/>
        <v>13402.264499999999</v>
      </c>
      <c r="R17" s="8">
        <f t="shared" si="60"/>
        <v>188253.98290302089</v>
      </c>
      <c r="S17" s="8">
        <f t="shared" si="61"/>
        <v>2.0165624740302088E-7</v>
      </c>
      <c r="T17" s="8">
        <f t="shared" si="62"/>
        <v>2.2279299511816125E-8</v>
      </c>
      <c r="X17">
        <v>2021</v>
      </c>
      <c r="Y17" t="s">
        <v>24</v>
      </c>
      <c r="Z17">
        <v>1633248.1799999992</v>
      </c>
      <c r="AA17" s="8">
        <v>36303333793.879997</v>
      </c>
      <c r="AI17">
        <v>2021</v>
      </c>
      <c r="AJ17" t="s">
        <v>3</v>
      </c>
      <c r="AK17">
        <f>226272.11</f>
        <v>226272.11</v>
      </c>
      <c r="AL17" s="15">
        <v>5128620000</v>
      </c>
      <c r="AM17" s="7"/>
      <c r="AU17" t="s">
        <v>20</v>
      </c>
      <c r="AV17">
        <v>7112.1</v>
      </c>
      <c r="AW17" s="8">
        <v>192285000</v>
      </c>
      <c r="AX17">
        <v>13090.6</v>
      </c>
      <c r="AY17" s="91">
        <f t="shared" si="51"/>
        <v>13402.264499999999</v>
      </c>
      <c r="AZ17" s="91">
        <f t="shared" si="52"/>
        <v>188253.98290302089</v>
      </c>
      <c r="BA17" s="91">
        <f t="shared" si="53"/>
        <v>2.0165624740302088E-7</v>
      </c>
      <c r="BB17" s="91">
        <f t="shared" si="54"/>
        <v>2.1320180102417215E-8</v>
      </c>
      <c r="BF17">
        <v>2021</v>
      </c>
      <c r="BG17" t="s">
        <v>24</v>
      </c>
      <c r="BH17">
        <v>1633248.1799999992</v>
      </c>
      <c r="BI17" s="8">
        <v>36303333793.879997</v>
      </c>
      <c r="BQ17">
        <v>2021</v>
      </c>
      <c r="BR17" t="s">
        <v>3</v>
      </c>
      <c r="BS17">
        <f>226272.11</f>
        <v>226272.11</v>
      </c>
      <c r="BT17" s="15">
        <v>5128620000</v>
      </c>
      <c r="BU17" s="7"/>
      <c r="CC17" t="s">
        <v>20</v>
      </c>
      <c r="CD17">
        <v>7112.1</v>
      </c>
      <c r="CE17" s="8">
        <v>192285000</v>
      </c>
      <c r="CF17">
        <v>13090.6</v>
      </c>
      <c r="CG17" s="91">
        <f t="shared" si="55"/>
        <v>13402.264499999999</v>
      </c>
      <c r="CH17" s="91">
        <f t="shared" si="56"/>
        <v>188253.98290302089</v>
      </c>
      <c r="CI17" s="91">
        <f t="shared" si="57"/>
        <v>2.0165624740302088E-7</v>
      </c>
      <c r="CJ17" s="91">
        <f t="shared" si="58"/>
        <v>2.3571381237100945E-8</v>
      </c>
      <c r="CN17">
        <v>2021</v>
      </c>
      <c r="CO17" t="s">
        <v>24</v>
      </c>
      <c r="CP17">
        <v>1633248.1799999992</v>
      </c>
      <c r="CQ17" s="8">
        <v>36303333793.879997</v>
      </c>
    </row>
    <row r="18" spans="1:101" ht="15" thickBot="1" x14ac:dyDescent="0.4">
      <c r="B18" t="s">
        <v>4</v>
      </c>
      <c r="C18">
        <f>218613.3</f>
        <v>218613.3</v>
      </c>
      <c r="D18" s="13">
        <v>5104520000</v>
      </c>
      <c r="E18">
        <v>1519.17</v>
      </c>
      <c r="F18" s="8">
        <f>D18*$B$36</f>
        <v>355785.04399999999</v>
      </c>
      <c r="G18" s="8">
        <f>D18*E18*$B$35</f>
        <v>579963.28276210849</v>
      </c>
      <c r="H18" s="8">
        <f>SUM(F18:G18)*0.000000000001</f>
        <v>9.3574832676210843E-7</v>
      </c>
      <c r="I18" s="8">
        <f>D18*$B$37*0.000000000001</f>
        <v>1.2273943064612729E-7</v>
      </c>
      <c r="J18" s="8"/>
      <c r="K18" s="8"/>
      <c r="M18" t="s">
        <v>21</v>
      </c>
      <c r="N18">
        <v>3612.73</v>
      </c>
      <c r="O18" s="8">
        <v>65024000</v>
      </c>
      <c r="P18">
        <v>2839.27</v>
      </c>
      <c r="Q18" s="8">
        <f t="shared" si="59"/>
        <v>4532.1728000000003</v>
      </c>
      <c r="R18" s="8">
        <f t="shared" si="60"/>
        <v>13807.64427196464</v>
      </c>
      <c r="S18" s="8">
        <f t="shared" si="61"/>
        <v>1.8339817071964639E-8</v>
      </c>
      <c r="T18" s="8">
        <f t="shared" si="62"/>
        <v>7.5340727121529573E-9</v>
      </c>
      <c r="W18" t="s">
        <v>42</v>
      </c>
      <c r="Y18" t="s">
        <v>1</v>
      </c>
      <c r="Z18">
        <f>Z17-(N27+C17)</f>
        <v>1236115.5799999991</v>
      </c>
      <c r="AA18" s="8">
        <f>AA17-(O27+D17)</f>
        <v>27719993793.879997</v>
      </c>
      <c r="AB18" s="2">
        <v>38.352499999999999</v>
      </c>
      <c r="AC18" s="8">
        <f>AA18*$Y$38</f>
        <v>1932083.5674334357</v>
      </c>
      <c r="AD18" s="8">
        <f>AA18*AB18*$Y$37</f>
        <v>79510.781381578054</v>
      </c>
      <c r="AE18" s="8">
        <f>SUM(AC18:AD18)*0.000000000001</f>
        <v>2.0115943488150136E-6</v>
      </c>
      <c r="AF18" s="8">
        <f>AA18*$Y$39*0.000000000001</f>
        <v>2.079191457202325E-6</v>
      </c>
      <c r="AG18" s="8">
        <f>AF18-AE18</f>
        <v>6.7597108387311415E-8</v>
      </c>
      <c r="AH18" s="10"/>
      <c r="AJ18" t="s">
        <v>4</v>
      </c>
      <c r="AK18">
        <f>218613.3</f>
        <v>218613.3</v>
      </c>
      <c r="AL18" s="13">
        <v>5104520000</v>
      </c>
      <c r="AM18">
        <v>1519.17</v>
      </c>
      <c r="AN18" s="91">
        <f>AL18*AJ$36</f>
        <v>355785.04399999999</v>
      </c>
      <c r="AO18" s="91">
        <f>AL18*AM18*AJ$35</f>
        <v>579963.28276210849</v>
      </c>
      <c r="AP18" s="91">
        <f>SUM(AN18:AO18)*0.000000000001</f>
        <v>9.3574832676210843E-7</v>
      </c>
      <c r="AQ18" s="91">
        <f>AL18*AJ$37*0.000000000001</f>
        <v>1.0503773402107172E-7</v>
      </c>
      <c r="AR18" s="8"/>
      <c r="AS18" s="8"/>
      <c r="AU18" t="s">
        <v>21</v>
      </c>
      <c r="AV18">
        <v>3612.73</v>
      </c>
      <c r="AW18" s="8">
        <v>65024000</v>
      </c>
      <c r="AX18">
        <v>2839.27</v>
      </c>
      <c r="AY18" s="91">
        <f t="shared" si="51"/>
        <v>4532.1728000000003</v>
      </c>
      <c r="AZ18" s="91">
        <f t="shared" si="52"/>
        <v>13807.64427196464</v>
      </c>
      <c r="BA18" s="91">
        <f t="shared" si="53"/>
        <v>1.8339817071964639E-8</v>
      </c>
      <c r="BB18" s="91">
        <f t="shared" si="54"/>
        <v>7.2097323815148191E-9</v>
      </c>
      <c r="BE18" t="s">
        <v>42</v>
      </c>
      <c r="BG18" t="s">
        <v>1</v>
      </c>
      <c r="BH18">
        <f>BH17-(AV27+AK17)</f>
        <v>1236115.5799999991</v>
      </c>
      <c r="BI18" s="8">
        <f>BI17-(AW27+AL17)</f>
        <v>27719993793.879997</v>
      </c>
      <c r="BJ18" s="2">
        <v>38.352499999999999</v>
      </c>
      <c r="BK18" s="91">
        <f t="shared" ref="BK18:BK20" si="81">BI18*BG$38</f>
        <v>1932083.5674334357</v>
      </c>
      <c r="BL18" s="91">
        <f t="shared" ref="BL18:BL20" si="82">BI18*BJ18*BG$37</f>
        <v>79510.781381578054</v>
      </c>
      <c r="BM18" s="91">
        <f t="shared" ref="BM18:BM20" si="83">SUM(BK18:BL18)*0.000000000001</f>
        <v>2.0115943488150136E-6</v>
      </c>
      <c r="BN18" s="91">
        <f t="shared" ref="BN18:BN20" si="84">BI18*BG$39*0.000000000001</f>
        <v>1.781271586151573E-6</v>
      </c>
      <c r="BO18" s="8">
        <f>BN18-BM18</f>
        <v>-2.3032276266344059E-7</v>
      </c>
      <c r="BP18" s="10"/>
      <c r="BR18" t="s">
        <v>4</v>
      </c>
      <c r="BS18">
        <f>218613.3</f>
        <v>218613.3</v>
      </c>
      <c r="BT18" s="13">
        <v>5104520000</v>
      </c>
      <c r="BU18">
        <v>1519.17</v>
      </c>
      <c r="BV18" s="91">
        <f>BT18*BR$36</f>
        <v>355785.04399999999</v>
      </c>
      <c r="BW18" s="91">
        <f>BT18*BU18*BR$35</f>
        <v>579963.28276210849</v>
      </c>
      <c r="BX18" s="91">
        <f>SUM(BV18:BW18)*0.000000000001</f>
        <v>9.3574832676210843E-7</v>
      </c>
      <c r="BY18" s="91">
        <f>BT18*BR$37*0.000000000001</f>
        <v>1.5066372672208623E-7</v>
      </c>
      <c r="BZ18" s="8"/>
      <c r="CA18" s="8"/>
      <c r="CC18" t="s">
        <v>21</v>
      </c>
      <c r="CD18">
        <v>3612.73</v>
      </c>
      <c r="CE18" s="8">
        <v>65024000</v>
      </c>
      <c r="CF18">
        <v>2839.27</v>
      </c>
      <c r="CG18" s="91">
        <f t="shared" si="55"/>
        <v>4532.1728000000003</v>
      </c>
      <c r="CH18" s="91">
        <f t="shared" si="56"/>
        <v>13807.64427196464</v>
      </c>
      <c r="CI18" s="91">
        <f t="shared" si="57"/>
        <v>1.8339817071964639E-8</v>
      </c>
      <c r="CJ18" s="91">
        <f t="shared" si="58"/>
        <v>7.9710091455976897E-9</v>
      </c>
      <c r="CM18" t="s">
        <v>42</v>
      </c>
      <c r="CO18" t="s">
        <v>1</v>
      </c>
      <c r="CP18">
        <f>CP17-(CD27+BS17)</f>
        <v>1236115.5799999991</v>
      </c>
      <c r="CQ18" s="8">
        <f>CQ17-(CE27+BT17)</f>
        <v>27719993793.879997</v>
      </c>
      <c r="CR18" s="2">
        <v>38.352499999999999</v>
      </c>
      <c r="CS18" s="91">
        <f t="shared" ref="CS18:CS20" si="85">CQ18*CO$38</f>
        <v>1932083.5674334357</v>
      </c>
      <c r="CT18" s="91">
        <f t="shared" ref="CT18:CT20" si="86">CQ18*CR18*CO$37</f>
        <v>79510.781381578054</v>
      </c>
      <c r="CU18" s="91">
        <f t="shared" ref="CU18:CU20" si="87">SUM(CS18:CT18)*0.000000000001</f>
        <v>2.0115943488150136E-6</v>
      </c>
      <c r="CV18" s="91">
        <f t="shared" ref="CV18:CV20" si="88">CQ18*CO$39*0.000000000001</f>
        <v>2.478109298984E-6</v>
      </c>
      <c r="CW18" s="8">
        <f>CV18-CU18</f>
        <v>4.6651495016898638E-7</v>
      </c>
    </row>
    <row r="19" spans="1:101" ht="15" thickBot="1" x14ac:dyDescent="0.4">
      <c r="B19" t="s">
        <v>5</v>
      </c>
      <c r="C19">
        <f>5266.43</f>
        <v>5266.43</v>
      </c>
      <c r="D19" s="15">
        <v>11223000</v>
      </c>
      <c r="E19" s="2">
        <v>5203.3100000000004</v>
      </c>
      <c r="F19" s="8">
        <f>D19*$B$36</f>
        <v>782.24310000000003</v>
      </c>
      <c r="G19" s="8">
        <f>D19*E19*$B$35</f>
        <v>4367.4493578551892</v>
      </c>
      <c r="H19" s="8">
        <f>SUM(F19:G19)*0.000000000001</f>
        <v>5.1496924578551885E-9</v>
      </c>
      <c r="I19" s="8">
        <f>D19*$B$37*0.000000000001</f>
        <v>2.6985977724477257E-10</v>
      </c>
      <c r="J19" s="8"/>
      <c r="K19" s="8"/>
      <c r="M19" s="1" t="s">
        <v>27</v>
      </c>
      <c r="Q19" s="8">
        <f>SUM(Q13:Q18)</f>
        <v>449559.70279999997</v>
      </c>
      <c r="R19" s="8">
        <f t="shared" ref="R19:T19" si="89">SUM(R13:R18)</f>
        <v>3307051.5436526695</v>
      </c>
      <c r="S19" s="8">
        <f t="shared" si="89"/>
        <v>3.7566112464526697E-6</v>
      </c>
      <c r="T19" s="8">
        <f t="shared" si="89"/>
        <v>7.4732708544322791E-7</v>
      </c>
      <c r="U19" s="8">
        <f>T19-S19</f>
        <v>-3.0092841610094416E-6</v>
      </c>
      <c r="V19" s="8"/>
      <c r="W19" t="s">
        <v>47</v>
      </c>
      <c r="Y19" t="s">
        <v>1</v>
      </c>
      <c r="Z19">
        <v>1236115.5799999991</v>
      </c>
      <c r="AA19" s="8">
        <v>27719993793.879997</v>
      </c>
      <c r="AB19" s="2">
        <v>3240</v>
      </c>
      <c r="AC19" s="8">
        <f t="shared" ref="AC19:AC20" si="90">AA19*$Y$38</f>
        <v>1932083.5674334357</v>
      </c>
      <c r="AD19" s="8">
        <f t="shared" ref="AD19:AD20" si="91">AA19*AB19*$Y$37</f>
        <v>6717031.0064875269</v>
      </c>
      <c r="AE19" s="8">
        <f t="shared" ref="AE19:AE20" si="92">SUM(AC19:AD19)*0.000000000001</f>
        <v>8.649114573920963E-6</v>
      </c>
      <c r="AF19" s="8">
        <f t="shared" ref="AF19:AF20" si="93">AA19*$Y$39*0.000000000001</f>
        <v>2.079191457202325E-6</v>
      </c>
      <c r="AG19" s="8">
        <f t="shared" ref="AG19:AG20" si="94">AF19-AE19</f>
        <v>-6.569923116718638E-6</v>
      </c>
      <c r="AH19" s="10"/>
      <c r="AJ19" t="s">
        <v>5</v>
      </c>
      <c r="AK19">
        <f>5266.43</f>
        <v>5266.43</v>
      </c>
      <c r="AL19" s="15">
        <v>11223000</v>
      </c>
      <c r="AM19" s="2">
        <v>5203.3100000000004</v>
      </c>
      <c r="AN19" s="91">
        <f>AL19*AJ$36</f>
        <v>782.24310000000003</v>
      </c>
      <c r="AO19" s="91">
        <f>AL19*AM19*AJ$35</f>
        <v>4367.4493578551892</v>
      </c>
      <c r="AP19" s="91">
        <f>SUM(AN19:AO19)*0.000000000001</f>
        <v>5.1496924578551885E-9</v>
      </c>
      <c r="AQ19" s="91">
        <f>AL19*AJ$37*0.000000000001</f>
        <v>2.3094012540228814E-10</v>
      </c>
      <c r="AR19" s="8"/>
      <c r="AS19" s="8"/>
      <c r="AU19" s="1" t="s">
        <v>27</v>
      </c>
      <c r="AY19" s="8">
        <f>SUM(AY13:AY18)</f>
        <v>449559.70279999997</v>
      </c>
      <c r="AZ19" s="8">
        <f t="shared" ref="AZ19:BB19" si="95">SUM(AZ13:AZ18)</f>
        <v>3307051.5436526695</v>
      </c>
      <c r="BA19" s="8">
        <f t="shared" si="95"/>
        <v>3.7566112464526697E-6</v>
      </c>
      <c r="BB19" s="8">
        <f t="shared" si="95"/>
        <v>7.1515480316667067E-7</v>
      </c>
      <c r="BC19" s="8">
        <f>BB19-BA19</f>
        <v>-3.0414564432859991E-6</v>
      </c>
      <c r="BD19" s="8"/>
      <c r="BE19" t="s">
        <v>47</v>
      </c>
      <c r="BG19" t="s">
        <v>1</v>
      </c>
      <c r="BH19">
        <v>1236115.5799999991</v>
      </c>
      <c r="BI19" s="8">
        <v>27719993793.879997</v>
      </c>
      <c r="BJ19" s="2">
        <v>3240</v>
      </c>
      <c r="BK19" s="91">
        <f t="shared" si="81"/>
        <v>1932083.5674334357</v>
      </c>
      <c r="BL19" s="91">
        <f t="shared" si="82"/>
        <v>6717031.0064875269</v>
      </c>
      <c r="BM19" s="91">
        <f t="shared" si="83"/>
        <v>8.649114573920963E-6</v>
      </c>
      <c r="BN19" s="91">
        <f t="shared" si="84"/>
        <v>1.781271586151573E-6</v>
      </c>
      <c r="BO19" s="8">
        <f t="shared" ref="BO19:BO20" si="96">BN19-BM19</f>
        <v>-6.8678429877693896E-6</v>
      </c>
      <c r="BP19" s="10"/>
      <c r="BR19" t="s">
        <v>5</v>
      </c>
      <c r="BS19">
        <f>5266.43</f>
        <v>5266.43</v>
      </c>
      <c r="BT19" s="15">
        <v>11223000</v>
      </c>
      <c r="BU19" s="2">
        <v>5203.3100000000004</v>
      </c>
      <c r="BV19" s="91">
        <f>BT19*BR$36</f>
        <v>782.24310000000003</v>
      </c>
      <c r="BW19" s="91">
        <f>BT19*BU19*BR$35</f>
        <v>4367.4493578551892</v>
      </c>
      <c r="BX19" s="91">
        <f>SUM(BV19:BW19)*0.000000000001</f>
        <v>5.1496924578551885E-9</v>
      </c>
      <c r="BY19" s="91">
        <f>BT19*BR$37*0.000000000001</f>
        <v>3.3125524143346951E-10</v>
      </c>
      <c r="BZ19" s="8"/>
      <c r="CA19" s="8"/>
      <c r="CC19" s="1" t="s">
        <v>27</v>
      </c>
      <c r="CG19" s="8">
        <f>SUM(CG13:CG18)</f>
        <v>449559.70279999997</v>
      </c>
      <c r="CH19" s="8">
        <f t="shared" ref="CH19:CJ19" si="97">SUM(CH13:CH18)</f>
        <v>3307051.5436526695</v>
      </c>
      <c r="CI19" s="8">
        <f t="shared" si="97"/>
        <v>3.7566112464526697E-6</v>
      </c>
      <c r="CJ19" s="8">
        <f t="shared" si="97"/>
        <v>7.9066811011949491E-7</v>
      </c>
      <c r="CK19" s="8">
        <f>CJ19-CI19</f>
        <v>-2.9659431363331749E-6</v>
      </c>
      <c r="CL19" s="8"/>
      <c r="CM19" t="s">
        <v>47</v>
      </c>
      <c r="CO19" t="s">
        <v>1</v>
      </c>
      <c r="CP19">
        <v>1236115.5799999991</v>
      </c>
      <c r="CQ19" s="8">
        <v>27719993793.879997</v>
      </c>
      <c r="CR19" s="2">
        <v>3240</v>
      </c>
      <c r="CS19" s="91">
        <f t="shared" si="85"/>
        <v>1932083.5674334357</v>
      </c>
      <c r="CT19" s="91">
        <f t="shared" si="86"/>
        <v>6717031.0064875269</v>
      </c>
      <c r="CU19" s="91">
        <f t="shared" si="87"/>
        <v>8.649114573920963E-6</v>
      </c>
      <c r="CV19" s="91">
        <f t="shared" si="88"/>
        <v>2.478109298984E-6</v>
      </c>
      <c r="CW19" s="8">
        <f t="shared" ref="CW19:CW20" si="98">CV19-CU19</f>
        <v>-6.1710052749369634E-6</v>
      </c>
    </row>
    <row r="20" spans="1:101" x14ac:dyDescent="0.35">
      <c r="B20" s="1" t="s">
        <v>27</v>
      </c>
      <c r="D20" s="8"/>
      <c r="F20" s="8">
        <f t="shared" ref="F20:G20" si="99">SUM(F18:F19)</f>
        <v>356567.28710000002</v>
      </c>
      <c r="G20" s="8">
        <f t="shared" si="99"/>
        <v>584330.73211996362</v>
      </c>
      <c r="H20" s="8">
        <f>SUM(H18:H19)</f>
        <v>9.4089801921996363E-7</v>
      </c>
      <c r="I20" s="8">
        <f>SUM(I18:I19)</f>
        <v>1.2300929042337206E-7</v>
      </c>
      <c r="J20" s="8">
        <f>I20-H20</f>
        <v>-8.1788872879659152E-7</v>
      </c>
      <c r="K20" s="8"/>
      <c r="L20">
        <v>2022</v>
      </c>
      <c r="M20" t="s">
        <v>22</v>
      </c>
      <c r="N20">
        <v>208086.27</v>
      </c>
      <c r="O20" s="8">
        <v>3861400000</v>
      </c>
      <c r="W20" t="s">
        <v>43</v>
      </c>
      <c r="Y20" t="s">
        <v>1</v>
      </c>
      <c r="Z20">
        <v>1236115.5799999991</v>
      </c>
      <c r="AA20">
        <v>27719993793.879997</v>
      </c>
      <c r="AB20">
        <v>19095.3</v>
      </c>
      <c r="AC20" s="8">
        <f t="shared" si="90"/>
        <v>1932083.5674334357</v>
      </c>
      <c r="AD20" s="8">
        <f t="shared" si="91"/>
        <v>39587568.573512733</v>
      </c>
      <c r="AE20" s="8">
        <f t="shared" si="92"/>
        <v>4.1519652140946171E-5</v>
      </c>
      <c r="AF20" s="8">
        <f t="shared" si="93"/>
        <v>2.079191457202325E-6</v>
      </c>
      <c r="AG20" s="8">
        <f t="shared" si="94"/>
        <v>-3.9440460683743847E-5</v>
      </c>
      <c r="AH20" s="10"/>
      <c r="AJ20" s="1" t="s">
        <v>27</v>
      </c>
      <c r="AL20" s="8"/>
      <c r="AN20" s="8">
        <f t="shared" ref="AN20:AO20" si="100">SUM(AN18:AN19)</f>
        <v>356567.28710000002</v>
      </c>
      <c r="AO20" s="8">
        <f t="shared" si="100"/>
        <v>584330.73211996362</v>
      </c>
      <c r="AP20" s="8">
        <f>SUM(AP18:AP19)</f>
        <v>9.4089801921996363E-7</v>
      </c>
      <c r="AQ20" s="8">
        <f>SUM(AQ18:AQ19)</f>
        <v>1.0526867414647402E-7</v>
      </c>
      <c r="AR20" s="8">
        <f>AQ20-AP20</f>
        <v>-8.3562934507348956E-7</v>
      </c>
      <c r="AS20" s="8"/>
      <c r="AT20">
        <v>2022</v>
      </c>
      <c r="AU20" t="s">
        <v>22</v>
      </c>
      <c r="AV20">
        <v>208086.27</v>
      </c>
      <c r="AW20" s="8">
        <v>3861400000</v>
      </c>
      <c r="BE20" t="s">
        <v>43</v>
      </c>
      <c r="BG20" t="s">
        <v>1</v>
      </c>
      <c r="BH20">
        <v>1236115.5799999991</v>
      </c>
      <c r="BI20">
        <v>27719993793.879997</v>
      </c>
      <c r="BJ20">
        <v>19095.3</v>
      </c>
      <c r="BK20" s="91">
        <f t="shared" si="81"/>
        <v>1932083.5674334357</v>
      </c>
      <c r="BL20" s="91">
        <f t="shared" si="82"/>
        <v>39587568.573512733</v>
      </c>
      <c r="BM20" s="91">
        <f t="shared" si="83"/>
        <v>4.1519652140946171E-5</v>
      </c>
      <c r="BN20" s="91">
        <f t="shared" si="84"/>
        <v>1.781271586151573E-6</v>
      </c>
      <c r="BO20" s="8">
        <f t="shared" si="96"/>
        <v>-3.9738380554794597E-5</v>
      </c>
      <c r="BP20" s="10"/>
      <c r="BR20" s="1" t="s">
        <v>27</v>
      </c>
      <c r="BT20" s="8"/>
      <c r="BV20" s="8">
        <f t="shared" ref="BV20:BW20" si="101">SUM(BV18:BV19)</f>
        <v>356567.28710000002</v>
      </c>
      <c r="BW20" s="8">
        <f t="shared" si="101"/>
        <v>584330.73211996362</v>
      </c>
      <c r="BX20" s="8">
        <f>SUM(BX18:BX19)</f>
        <v>9.4089801921996363E-7</v>
      </c>
      <c r="BY20" s="8">
        <f>SUM(BY18:BY19)</f>
        <v>1.5099498196351969E-7</v>
      </c>
      <c r="BZ20" s="8">
        <f>BY20-BX20</f>
        <v>-7.8990303725644394E-7</v>
      </c>
      <c r="CA20" s="8"/>
      <c r="CB20">
        <v>2022</v>
      </c>
      <c r="CC20" t="s">
        <v>22</v>
      </c>
      <c r="CD20">
        <v>208086.27</v>
      </c>
      <c r="CE20" s="8">
        <v>3861400000</v>
      </c>
      <c r="CM20" t="s">
        <v>43</v>
      </c>
      <c r="CO20" t="s">
        <v>1</v>
      </c>
      <c r="CP20">
        <v>1236115.5799999991</v>
      </c>
      <c r="CQ20">
        <v>27719993793.879997</v>
      </c>
      <c r="CR20">
        <v>19095.3</v>
      </c>
      <c r="CS20" s="91">
        <f t="shared" si="85"/>
        <v>1932083.5674334357</v>
      </c>
      <c r="CT20" s="91">
        <f t="shared" si="86"/>
        <v>39587568.573512733</v>
      </c>
      <c r="CU20" s="91">
        <f t="shared" si="87"/>
        <v>4.1519652140946171E-5</v>
      </c>
      <c r="CV20" s="91">
        <f t="shared" si="88"/>
        <v>2.478109298984E-6</v>
      </c>
      <c r="CW20" s="8">
        <f t="shared" si="98"/>
        <v>-3.9041542841962171E-5</v>
      </c>
    </row>
    <row r="21" spans="1:101" x14ac:dyDescent="0.35">
      <c r="A21">
        <v>2020</v>
      </c>
      <c r="B21" t="s">
        <v>3</v>
      </c>
      <c r="C21">
        <f>179594.13</f>
        <v>179594.13</v>
      </c>
      <c r="D21" s="13">
        <v>4100930000</v>
      </c>
      <c r="M21" t="s">
        <v>17</v>
      </c>
      <c r="N21">
        <v>91493.06</v>
      </c>
      <c r="O21" s="8">
        <v>1426560000</v>
      </c>
      <c r="P21">
        <v>10024.9</v>
      </c>
      <c r="Q21" s="8">
        <f>O21*$M$49</f>
        <v>99431.232000000004</v>
      </c>
      <c r="R21" s="8">
        <f>O21*P21*$M$48</f>
        <v>1069570.2283184982</v>
      </c>
      <c r="S21" s="8">
        <f>SUM(Q21:R21)*0.000000000001</f>
        <v>1.1690014603184983E-6</v>
      </c>
      <c r="T21" s="8">
        <f>O21*$M$50*0.000000000001</f>
        <v>1.6528984326170219E-7</v>
      </c>
      <c r="AI21">
        <v>2020</v>
      </c>
      <c r="AJ21" t="s">
        <v>3</v>
      </c>
      <c r="AK21">
        <f>179594.13</f>
        <v>179594.13</v>
      </c>
      <c r="AL21" s="13">
        <v>4100930000</v>
      </c>
      <c r="AU21" t="s">
        <v>17</v>
      </c>
      <c r="AV21">
        <v>91493.06</v>
      </c>
      <c r="AW21" s="8">
        <v>1426560000</v>
      </c>
      <c r="AX21">
        <v>10024.9</v>
      </c>
      <c r="AY21" s="91">
        <f t="shared" ref="AY21:AY25" si="102">AW21*AU$49</f>
        <v>99431.232000000004</v>
      </c>
      <c r="AZ21" s="91">
        <f t="shared" ref="AZ21:AZ25" si="103">AW21*AX21*AU$48</f>
        <v>1069570.2283184982</v>
      </c>
      <c r="BA21" s="91">
        <f t="shared" ref="BA21:BA25" si="104">SUM(AY21:AZ21)*0.000000000001</f>
        <v>1.1690014603184983E-6</v>
      </c>
      <c r="BB21" s="91">
        <f t="shared" ref="BB21:BB25" si="105">AW21*AU$50*0.000000000001</f>
        <v>1.5817414840941468E-7</v>
      </c>
      <c r="BQ21">
        <v>2020</v>
      </c>
      <c r="BR21" t="s">
        <v>3</v>
      </c>
      <c r="BS21">
        <f>179594.13</f>
        <v>179594.13</v>
      </c>
      <c r="BT21" s="13">
        <v>4100930000</v>
      </c>
      <c r="CC21" t="s">
        <v>17</v>
      </c>
      <c r="CD21">
        <v>91493.06</v>
      </c>
      <c r="CE21" s="8">
        <v>1426560000</v>
      </c>
      <c r="CF21">
        <v>10024.9</v>
      </c>
      <c r="CG21" s="91">
        <f t="shared" ref="CG21:CG25" si="106">CE21*CC$49</f>
        <v>99431.232000000004</v>
      </c>
      <c r="CH21" s="91">
        <f t="shared" ref="CH21:CH25" si="107">CE21*CF21*CC$48</f>
        <v>1069570.2283184982</v>
      </c>
      <c r="CI21" s="91">
        <f t="shared" ref="CI21:CI25" si="108">SUM(CG21:CH21)*0.000000000001</f>
        <v>1.1690014603184983E-6</v>
      </c>
      <c r="CJ21" s="91">
        <f t="shared" ref="CJ21:CJ25" si="109">CE21*CC$50*0.000000000001</f>
        <v>1.7487578135371311E-7</v>
      </c>
    </row>
    <row r="22" spans="1:101" x14ac:dyDescent="0.35">
      <c r="B22" t="s">
        <v>4</v>
      </c>
      <c r="C22">
        <f>172595.13</f>
        <v>172595.13</v>
      </c>
      <c r="D22" s="13">
        <v>4076950000</v>
      </c>
      <c r="E22">
        <v>1519.17</v>
      </c>
      <c r="F22" s="8">
        <f>D22*$B$36</f>
        <v>284163.41499999998</v>
      </c>
      <c r="G22" s="8">
        <f>D22*E22*$B$35</f>
        <v>463213.25132568355</v>
      </c>
      <c r="H22" s="8">
        <f>SUM(F22:G22)*0.000000000001</f>
        <v>7.4737666632568342E-7</v>
      </c>
      <c r="I22" s="8">
        <f>D22*$B$37*0.000000000001</f>
        <v>9.8031258918121321E-8</v>
      </c>
      <c r="J22" s="8"/>
      <c r="K22" s="8"/>
      <c r="M22" t="s">
        <v>18</v>
      </c>
      <c r="N22">
        <v>54730.36</v>
      </c>
      <c r="O22" s="8">
        <v>1333930000</v>
      </c>
      <c r="P22">
        <v>4511.93</v>
      </c>
      <c r="Q22" s="8">
        <f t="shared" ref="Q22:Q25" si="110">O22*$M$49</f>
        <v>92974.921000000002</v>
      </c>
      <c r="R22" s="8">
        <f t="shared" ref="R22:R25" si="111">O22*P22*$M$48</f>
        <v>450126.52656245651</v>
      </c>
      <c r="S22" s="8">
        <f t="shared" ref="S22:S25" si="112">SUM(Q22:R22)*0.000000000001</f>
        <v>5.4310144756245645E-7</v>
      </c>
      <c r="T22" s="8">
        <f t="shared" ref="T22:T25" si="113">O22*$M$50*0.000000000001</f>
        <v>1.5455717293495008E-7</v>
      </c>
      <c r="X22">
        <v>2020</v>
      </c>
      <c r="Y22" t="s">
        <v>24</v>
      </c>
      <c r="Z22">
        <v>1318599.5300000012</v>
      </c>
      <c r="AA22" s="8">
        <v>31095256766.259991</v>
      </c>
      <c r="AJ22" t="s">
        <v>4</v>
      </c>
      <c r="AK22">
        <f>172595.13</f>
        <v>172595.13</v>
      </c>
      <c r="AL22" s="13">
        <v>4076950000</v>
      </c>
      <c r="AM22">
        <v>1519.17</v>
      </c>
      <c r="AN22" s="91">
        <f>AL22*AJ$36</f>
        <v>284163.41499999998</v>
      </c>
      <c r="AO22" s="91">
        <f>AL22*AM22*AJ$35</f>
        <v>463213.25132568355</v>
      </c>
      <c r="AP22" s="91">
        <f>SUM(AN22:AO22)*0.000000000001</f>
        <v>7.4737666632568342E-7</v>
      </c>
      <c r="AQ22" s="91">
        <f>AL22*AJ$37*0.000000000001</f>
        <v>8.3893018289125784E-8</v>
      </c>
      <c r="AR22" s="8"/>
      <c r="AS22" s="8"/>
      <c r="AU22" t="s">
        <v>18</v>
      </c>
      <c r="AV22">
        <v>54730.36</v>
      </c>
      <c r="AW22" s="8">
        <v>1333930000</v>
      </c>
      <c r="AX22">
        <v>4511.93</v>
      </c>
      <c r="AY22" s="91">
        <f t="shared" si="102"/>
        <v>92974.921000000002</v>
      </c>
      <c r="AZ22" s="91">
        <f t="shared" si="103"/>
        <v>450126.52656245651</v>
      </c>
      <c r="BA22" s="91">
        <f t="shared" si="104"/>
        <v>5.4310144756245645E-7</v>
      </c>
      <c r="BB22" s="91">
        <f t="shared" si="105"/>
        <v>1.4790351740394413E-7</v>
      </c>
      <c r="BF22">
        <v>2020</v>
      </c>
      <c r="BG22" t="s">
        <v>24</v>
      </c>
      <c r="BH22">
        <v>1318599.5300000012</v>
      </c>
      <c r="BI22" s="8">
        <v>31095256766.259991</v>
      </c>
      <c r="BR22" t="s">
        <v>4</v>
      </c>
      <c r="BS22">
        <f>172595.13</f>
        <v>172595.13</v>
      </c>
      <c r="BT22" s="13">
        <v>4076950000</v>
      </c>
      <c r="BU22">
        <v>1519.17</v>
      </c>
      <c r="BV22" s="91">
        <f>BT22*BR$36</f>
        <v>284163.41499999998</v>
      </c>
      <c r="BW22" s="91">
        <f>BT22*BU22*BR$35</f>
        <v>463213.25132568355</v>
      </c>
      <c r="BX22" s="91">
        <f>SUM(BV22:BW22)*0.000000000001</f>
        <v>7.4737666632568342E-7</v>
      </c>
      <c r="BY22" s="91">
        <f>BT22*BR$37*0.000000000001</f>
        <v>1.2033422940053314E-7</v>
      </c>
      <c r="BZ22" s="8"/>
      <c r="CA22" s="8"/>
      <c r="CC22" t="s">
        <v>18</v>
      </c>
      <c r="CD22">
        <v>54730.36</v>
      </c>
      <c r="CE22" s="8">
        <v>1333930000</v>
      </c>
      <c r="CF22">
        <v>4511.93</v>
      </c>
      <c r="CG22" s="91">
        <f t="shared" si="106"/>
        <v>92974.921000000002</v>
      </c>
      <c r="CH22" s="91">
        <f t="shared" si="107"/>
        <v>450126.52656245651</v>
      </c>
      <c r="CI22" s="91">
        <f t="shared" si="108"/>
        <v>5.4310144756245645E-7</v>
      </c>
      <c r="CJ22" s="91">
        <f t="shared" si="109"/>
        <v>1.6352067282214453E-7</v>
      </c>
      <c r="CN22">
        <v>2020</v>
      </c>
      <c r="CO22" t="s">
        <v>24</v>
      </c>
      <c r="CP22">
        <v>1318599.5300000012</v>
      </c>
      <c r="CQ22" s="8">
        <v>31095256766.259991</v>
      </c>
    </row>
    <row r="23" spans="1:101" ht="15" thickBot="1" x14ac:dyDescent="0.4">
      <c r="B23" t="s">
        <v>5</v>
      </c>
      <c r="C23">
        <f>3987.64</f>
        <v>3987.64</v>
      </c>
      <c r="D23" s="13">
        <v>12079000</v>
      </c>
      <c r="E23" s="2">
        <v>5203.3100000000004</v>
      </c>
      <c r="F23" s="8">
        <f>D23*$B$36</f>
        <v>841.90629999999999</v>
      </c>
      <c r="G23" s="8">
        <f>D23*E23*$B$35</f>
        <v>4700.5631999940151</v>
      </c>
      <c r="H23" s="8">
        <f>SUM(F23:G23)*0.000000000001</f>
        <v>5.5424694999940146E-9</v>
      </c>
      <c r="I23" s="8">
        <f>D23*$B$37*0.000000000001</f>
        <v>2.9044250640110564E-10</v>
      </c>
      <c r="J23" s="8"/>
      <c r="K23" s="8"/>
      <c r="M23" t="s">
        <v>16</v>
      </c>
      <c r="N23">
        <v>38629.629999999997</v>
      </c>
      <c r="O23" s="8">
        <v>904198000</v>
      </c>
      <c r="P23">
        <v>4900.57</v>
      </c>
      <c r="Q23" s="8">
        <f t="shared" si="110"/>
        <v>63022.600599999998</v>
      </c>
      <c r="R23" s="8">
        <f t="shared" si="111"/>
        <v>331397.59570269391</v>
      </c>
      <c r="S23" s="8">
        <f t="shared" si="112"/>
        <v>3.9442019630269392E-7</v>
      </c>
      <c r="T23" s="8">
        <f t="shared" si="113"/>
        <v>1.0476583228013165E-7</v>
      </c>
      <c r="W23" t="s">
        <v>42</v>
      </c>
      <c r="Y23" t="s">
        <v>1</v>
      </c>
      <c r="Z23">
        <f>Z22-(N33+C21)</f>
        <v>999873.30000000121</v>
      </c>
      <c r="AA23" s="8">
        <f>AA22-(O33+D21)</f>
        <v>23597456766.259991</v>
      </c>
      <c r="AB23" s="2">
        <v>38.352499999999999</v>
      </c>
      <c r="AC23" s="8">
        <f>AA23*$Y$38</f>
        <v>1644742.7366083213</v>
      </c>
      <c r="AD23" s="8">
        <f>AA23*AB23*$Y$37</f>
        <v>67685.881896466206</v>
      </c>
      <c r="AE23" s="8">
        <f>SUM(AC23:AD23)*0.000000000001</f>
        <v>1.7124286185047875E-6</v>
      </c>
      <c r="AF23" s="8">
        <f>AA23*$Y$39*0.000000000001</f>
        <v>1.7699726372572712E-6</v>
      </c>
      <c r="AG23" s="8">
        <f>AF23-AE23</f>
        <v>5.7544018752483624E-8</v>
      </c>
      <c r="AH23" s="10"/>
      <c r="AJ23" t="s">
        <v>5</v>
      </c>
      <c r="AK23">
        <f>3987.64</f>
        <v>3987.64</v>
      </c>
      <c r="AL23" s="13">
        <v>12079000</v>
      </c>
      <c r="AM23" s="2">
        <v>5203.3100000000004</v>
      </c>
      <c r="AN23" s="91">
        <f>AL23*AJ$36</f>
        <v>841.90629999999999</v>
      </c>
      <c r="AO23" s="91">
        <f>AL23*AM23*AJ$35</f>
        <v>4700.5631999940151</v>
      </c>
      <c r="AP23" s="91">
        <f>SUM(AN23:AO23)*0.000000000001</f>
        <v>5.5424694999940146E-9</v>
      </c>
      <c r="AQ23" s="91">
        <f>AL23*AJ$37*0.000000000001</f>
        <v>2.485543771481991E-10</v>
      </c>
      <c r="AR23" s="8"/>
      <c r="AS23" s="8"/>
      <c r="AU23" t="s">
        <v>16</v>
      </c>
      <c r="AV23">
        <v>38629.629999999997</v>
      </c>
      <c r="AW23" s="8">
        <v>904198000</v>
      </c>
      <c r="AX23">
        <v>4900.57</v>
      </c>
      <c r="AY23" s="91">
        <f t="shared" si="102"/>
        <v>63022.600599999998</v>
      </c>
      <c r="AZ23" s="91">
        <f t="shared" si="103"/>
        <v>331397.59570269391</v>
      </c>
      <c r="BA23" s="91">
        <f t="shared" si="104"/>
        <v>3.9442019630269392E-7</v>
      </c>
      <c r="BB23" s="91">
        <f t="shared" si="105"/>
        <v>1.0025568405359462E-7</v>
      </c>
      <c r="BE23" t="s">
        <v>42</v>
      </c>
      <c r="BG23" t="s">
        <v>1</v>
      </c>
      <c r="BH23">
        <f>BH22-(AV33+AK21)</f>
        <v>999873.30000000121</v>
      </c>
      <c r="BI23" s="8">
        <f>BI22-(AW33+AL21)</f>
        <v>23597456766.259991</v>
      </c>
      <c r="BJ23" s="2">
        <v>38.352499999999999</v>
      </c>
      <c r="BK23" s="91">
        <f t="shared" ref="BK23:BK25" si="114">BI23*BG$38</f>
        <v>1644742.7366083213</v>
      </c>
      <c r="BL23" s="91">
        <f t="shared" ref="BL23:BL25" si="115">BI23*BJ23*BG$37</f>
        <v>67685.881896466206</v>
      </c>
      <c r="BM23" s="91">
        <f t="shared" ref="BM23:BM25" si="116">SUM(BK23:BL23)*0.000000000001</f>
        <v>1.7124286185047875E-6</v>
      </c>
      <c r="BN23" s="91">
        <f t="shared" ref="BN23:BN25" si="117">BI23*BG$39*0.000000000001</f>
        <v>1.5163596195486605E-6</v>
      </c>
      <c r="BO23" s="8">
        <f>BN23-BM23</f>
        <v>-1.9606899895612708E-7</v>
      </c>
      <c r="BP23" s="10"/>
      <c r="BR23" t="s">
        <v>5</v>
      </c>
      <c r="BS23">
        <f>3987.64</f>
        <v>3987.64</v>
      </c>
      <c r="BT23" s="13">
        <v>12079000</v>
      </c>
      <c r="BU23" s="2">
        <v>5203.3100000000004</v>
      </c>
      <c r="BV23" s="91">
        <f>BT23*BR$36</f>
        <v>841.90629999999999</v>
      </c>
      <c r="BW23" s="91">
        <f>BT23*BU23*BR$35</f>
        <v>4700.5631999940151</v>
      </c>
      <c r="BX23" s="91">
        <f>SUM(BV23:BW23)*0.000000000001</f>
        <v>5.5424694999940146E-9</v>
      </c>
      <c r="BY23" s="91">
        <f>BT23*BR$37*0.000000000001</f>
        <v>3.5652072184575229E-10</v>
      </c>
      <c r="BZ23" s="8"/>
      <c r="CA23" s="8"/>
      <c r="CC23" t="s">
        <v>16</v>
      </c>
      <c r="CD23">
        <v>38629.629999999997</v>
      </c>
      <c r="CE23" s="8">
        <v>904198000</v>
      </c>
      <c r="CF23">
        <v>4900.57</v>
      </c>
      <c r="CG23" s="91">
        <f t="shared" si="106"/>
        <v>63022.600599999998</v>
      </c>
      <c r="CH23" s="91">
        <f t="shared" si="107"/>
        <v>331397.59570269391</v>
      </c>
      <c r="CI23" s="91">
        <f t="shared" si="108"/>
        <v>3.9442019630269392E-7</v>
      </c>
      <c r="CJ23" s="91">
        <f t="shared" si="109"/>
        <v>1.1084169733377122E-7</v>
      </c>
      <c r="CM23" t="s">
        <v>42</v>
      </c>
      <c r="CO23" t="s">
        <v>1</v>
      </c>
      <c r="CP23">
        <f>CP22-(CD33+BS21)</f>
        <v>999873.30000000121</v>
      </c>
      <c r="CQ23" s="8">
        <f>CQ22-(CE33+BT21)</f>
        <v>23597456766.259991</v>
      </c>
      <c r="CR23" s="2">
        <v>38.352499999999999</v>
      </c>
      <c r="CS23" s="91">
        <f t="shared" ref="CS23:CS25" si="118">CQ23*CO$38</f>
        <v>1644742.7366083213</v>
      </c>
      <c r="CT23" s="91">
        <f t="shared" ref="CT23:CT25" si="119">CQ23*CR23*CO$37</f>
        <v>67685.881896466206</v>
      </c>
      <c r="CU23" s="91">
        <f t="shared" ref="CU23:CU25" si="120">SUM(CS23:CT23)*0.000000000001</f>
        <v>1.7124286185047875E-6</v>
      </c>
      <c r="CV23" s="91">
        <f t="shared" ref="CV23:CV25" si="121">CQ23*CO$39*0.000000000001</f>
        <v>2.10956313625699E-6</v>
      </c>
      <c r="CW23" s="8">
        <f>CV23-CU23</f>
        <v>3.9713451775220246E-7</v>
      </c>
    </row>
    <row r="24" spans="1:101" ht="15" thickBot="1" x14ac:dyDescent="0.4">
      <c r="B24" s="1" t="s">
        <v>27</v>
      </c>
      <c r="D24" s="8"/>
      <c r="F24" s="8">
        <f t="shared" ref="F24:G24" si="122">SUM(F22:F23)</f>
        <v>285005.32129999995</v>
      </c>
      <c r="G24" s="8">
        <f t="shared" si="122"/>
        <v>467913.81452567759</v>
      </c>
      <c r="H24" s="8">
        <f>SUM(H22:H23)</f>
        <v>7.5291913582567743E-7</v>
      </c>
      <c r="I24" s="8">
        <f>SUM(I22:I23)</f>
        <v>9.832170142452243E-8</v>
      </c>
      <c r="J24" s="8">
        <f>I24-H24</f>
        <v>-6.5459743440115497E-7</v>
      </c>
      <c r="K24" s="8"/>
      <c r="M24" t="s">
        <v>19</v>
      </c>
      <c r="N24">
        <v>6122.62</v>
      </c>
      <c r="O24" s="8">
        <v>115150000</v>
      </c>
      <c r="P24">
        <v>13389.8</v>
      </c>
      <c r="Q24" s="8">
        <f t="shared" si="110"/>
        <v>8025.9549999999999</v>
      </c>
      <c r="R24" s="8">
        <f t="shared" si="111"/>
        <v>115312.72800292233</v>
      </c>
      <c r="S24" s="8">
        <f t="shared" si="112"/>
        <v>1.2333868300292232E-7</v>
      </c>
      <c r="T24" s="8">
        <f t="shared" si="113"/>
        <v>1.3341973314536374E-8</v>
      </c>
      <c r="W24" t="s">
        <v>47</v>
      </c>
      <c r="Y24" t="s">
        <v>1</v>
      </c>
      <c r="Z24">
        <v>999873.30000000121</v>
      </c>
      <c r="AA24" s="15">
        <v>23597456766.259991</v>
      </c>
      <c r="AB24" s="2">
        <v>3240</v>
      </c>
      <c r="AC24" s="8">
        <f t="shared" ref="AC24:AC25" si="123">AA24*$Y$38</f>
        <v>1644742.7366083213</v>
      </c>
      <c r="AD24" s="8">
        <f t="shared" ref="AD24:AD25" si="124">AA24*AB24*$Y$37</f>
        <v>5718069.4177576564</v>
      </c>
      <c r="AE24" s="8">
        <f t="shared" ref="AE24:AE25" si="125">SUM(AC24:AD24)*0.000000000001</f>
        <v>7.3628121543659774E-6</v>
      </c>
      <c r="AF24" s="8">
        <f t="shared" ref="AF24:AF25" si="126">AA24*$Y$39*0.000000000001</f>
        <v>1.7699726372572712E-6</v>
      </c>
      <c r="AG24" s="8">
        <f t="shared" ref="AG24:AG25" si="127">AF24-AE24</f>
        <v>-5.5928395171087067E-6</v>
      </c>
      <c r="AH24" s="10"/>
      <c r="AJ24" s="1" t="s">
        <v>27</v>
      </c>
      <c r="AL24" s="8"/>
      <c r="AN24" s="8">
        <f t="shared" ref="AN24:AO24" si="128">SUM(AN22:AN23)</f>
        <v>285005.32129999995</v>
      </c>
      <c r="AO24" s="8">
        <f t="shared" si="128"/>
        <v>467913.81452567759</v>
      </c>
      <c r="AP24" s="8">
        <f>SUM(AP22:AP23)</f>
        <v>7.5291913582567743E-7</v>
      </c>
      <c r="AQ24" s="8">
        <f>SUM(AQ22:AQ23)</f>
        <v>8.4141572666273981E-8</v>
      </c>
      <c r="AR24" s="8">
        <f>AQ24-AP24</f>
        <v>-6.6877756315940343E-7</v>
      </c>
      <c r="AS24" s="8"/>
      <c r="AU24" t="s">
        <v>19</v>
      </c>
      <c r="AV24">
        <v>6122.62</v>
      </c>
      <c r="AW24" s="8">
        <v>115150000</v>
      </c>
      <c r="AX24">
        <v>13389.8</v>
      </c>
      <c r="AY24" s="91">
        <f t="shared" si="102"/>
        <v>8025.9549999999999</v>
      </c>
      <c r="AZ24" s="91">
        <f t="shared" si="103"/>
        <v>115312.72800292233</v>
      </c>
      <c r="BA24" s="91">
        <f t="shared" si="104"/>
        <v>1.2333868300292232E-7</v>
      </c>
      <c r="BB24" s="91">
        <f t="shared" si="105"/>
        <v>1.2767604018999624E-8</v>
      </c>
      <c r="BE24" t="s">
        <v>47</v>
      </c>
      <c r="BG24" t="s">
        <v>1</v>
      </c>
      <c r="BH24">
        <v>999873.30000000121</v>
      </c>
      <c r="BI24" s="15">
        <v>23597456766.259991</v>
      </c>
      <c r="BJ24" s="2">
        <v>3240</v>
      </c>
      <c r="BK24" s="91">
        <f t="shared" si="114"/>
        <v>1644742.7366083213</v>
      </c>
      <c r="BL24" s="91">
        <f t="shared" si="115"/>
        <v>5718069.4177576564</v>
      </c>
      <c r="BM24" s="91">
        <f t="shared" si="116"/>
        <v>7.3628121543659774E-6</v>
      </c>
      <c r="BN24" s="91">
        <f t="shared" si="117"/>
        <v>1.5163596195486605E-6</v>
      </c>
      <c r="BO24" s="8">
        <f t="shared" ref="BO24:BO25" si="129">BN24-BM24</f>
        <v>-5.8464525348173172E-6</v>
      </c>
      <c r="BP24" s="10"/>
      <c r="BR24" s="1" t="s">
        <v>27</v>
      </c>
      <c r="BT24" s="8"/>
      <c r="BV24" s="8">
        <f t="shared" ref="BV24:BW24" si="130">SUM(BV22:BV23)</f>
        <v>285005.32129999995</v>
      </c>
      <c r="BW24" s="8">
        <f t="shared" si="130"/>
        <v>467913.81452567759</v>
      </c>
      <c r="BX24" s="8">
        <f>SUM(BX22:BX23)</f>
        <v>7.5291913582567743E-7</v>
      </c>
      <c r="BY24" s="8">
        <f>SUM(BY22:BY23)</f>
        <v>1.2069075012237889E-7</v>
      </c>
      <c r="BZ24" s="8">
        <f>BY24-BX24</f>
        <v>-6.3222838570329856E-7</v>
      </c>
      <c r="CA24" s="8"/>
      <c r="CC24" t="s">
        <v>19</v>
      </c>
      <c r="CD24">
        <v>6122.62</v>
      </c>
      <c r="CE24" s="8">
        <v>115150000</v>
      </c>
      <c r="CF24">
        <v>13389.8</v>
      </c>
      <c r="CG24" s="91">
        <f t="shared" si="106"/>
        <v>8025.9549999999999</v>
      </c>
      <c r="CH24" s="91">
        <f t="shared" si="107"/>
        <v>115312.72800292233</v>
      </c>
      <c r="CI24" s="91">
        <f t="shared" si="108"/>
        <v>1.2333868300292232E-7</v>
      </c>
      <c r="CJ24" s="91">
        <f t="shared" si="109"/>
        <v>1.4115737314154373E-8</v>
      </c>
      <c r="CM24" t="s">
        <v>47</v>
      </c>
      <c r="CO24" t="s">
        <v>1</v>
      </c>
      <c r="CP24">
        <v>999873.30000000121</v>
      </c>
      <c r="CQ24" s="15">
        <v>23597456766.259991</v>
      </c>
      <c r="CR24" s="2">
        <v>3240</v>
      </c>
      <c r="CS24" s="91">
        <f t="shared" si="118"/>
        <v>1644742.7366083213</v>
      </c>
      <c r="CT24" s="91">
        <f t="shared" si="119"/>
        <v>5718069.4177576564</v>
      </c>
      <c r="CU24" s="91">
        <f t="shared" si="120"/>
        <v>7.3628121543659774E-6</v>
      </c>
      <c r="CV24" s="91">
        <f t="shared" si="121"/>
        <v>2.10956313625699E-6</v>
      </c>
      <c r="CW24" s="8">
        <f t="shared" ref="CW24:CW25" si="131">CV24-CU24</f>
        <v>-5.2532490181089874E-6</v>
      </c>
    </row>
    <row r="25" spans="1:101" ht="15" thickBot="1" x14ac:dyDescent="0.4">
      <c r="A25">
        <v>2019</v>
      </c>
      <c r="B25" t="s">
        <v>3</v>
      </c>
      <c r="C25">
        <f>236543.02</f>
        <v>236543.02</v>
      </c>
      <c r="D25" s="14">
        <v>5168340000</v>
      </c>
      <c r="E25" s="4"/>
      <c r="M25" t="s">
        <v>20</v>
      </c>
      <c r="N25">
        <v>1522.14</v>
      </c>
      <c r="O25" s="8">
        <v>38216900</v>
      </c>
      <c r="P25">
        <v>13090.6</v>
      </c>
      <c r="Q25" s="8">
        <f t="shared" si="110"/>
        <v>2663.7179299999998</v>
      </c>
      <c r="R25" s="8">
        <f t="shared" si="111"/>
        <v>37415.729980011231</v>
      </c>
      <c r="S25" s="8">
        <f t="shared" si="112"/>
        <v>4.0079447910011228E-8</v>
      </c>
      <c r="T25" s="8">
        <f t="shared" si="113"/>
        <v>4.428040468643553E-9</v>
      </c>
      <c r="W25" t="s">
        <v>43</v>
      </c>
      <c r="Y25" t="s">
        <v>1</v>
      </c>
      <c r="Z25">
        <v>999873.30000000121</v>
      </c>
      <c r="AA25">
        <v>23597456766.259991</v>
      </c>
      <c r="AB25">
        <v>19095.3</v>
      </c>
      <c r="AC25" s="8">
        <f t="shared" si="123"/>
        <v>1644742.7366083213</v>
      </c>
      <c r="AD25" s="8">
        <f t="shared" si="124"/>
        <v>33700077.454601161</v>
      </c>
      <c r="AE25" s="8">
        <f t="shared" si="125"/>
        <v>3.5344820191209477E-5</v>
      </c>
      <c r="AF25" s="8">
        <f t="shared" si="126"/>
        <v>1.7699726372572712E-6</v>
      </c>
      <c r="AG25" s="8">
        <f t="shared" si="127"/>
        <v>-3.3574847553952206E-5</v>
      </c>
      <c r="AH25" s="10"/>
      <c r="AI25">
        <v>2019</v>
      </c>
      <c r="AJ25" t="s">
        <v>3</v>
      </c>
      <c r="AK25">
        <f>236543.02</f>
        <v>236543.02</v>
      </c>
      <c r="AL25" s="14">
        <v>5168340000</v>
      </c>
      <c r="AM25" s="4"/>
      <c r="AU25" t="s">
        <v>20</v>
      </c>
      <c r="AV25">
        <v>1522.14</v>
      </c>
      <c r="AW25" s="8">
        <v>38216900</v>
      </c>
      <c r="AX25">
        <v>13090.6</v>
      </c>
      <c r="AY25" s="91">
        <f t="shared" si="102"/>
        <v>2663.7179299999998</v>
      </c>
      <c r="AZ25" s="91">
        <f t="shared" si="103"/>
        <v>37415.729980011231</v>
      </c>
      <c r="BA25" s="91">
        <f t="shared" si="104"/>
        <v>4.0079447910011228E-8</v>
      </c>
      <c r="BB25" s="91">
        <f t="shared" si="105"/>
        <v>4.2374142078480827E-9</v>
      </c>
      <c r="BE25" t="s">
        <v>43</v>
      </c>
      <c r="BG25" t="s">
        <v>1</v>
      </c>
      <c r="BH25">
        <v>999873.30000000121</v>
      </c>
      <c r="BI25">
        <v>23597456766.259991</v>
      </c>
      <c r="BJ25">
        <v>19095.3</v>
      </c>
      <c r="BK25" s="91">
        <f t="shared" si="114"/>
        <v>1644742.7366083213</v>
      </c>
      <c r="BL25" s="91">
        <f t="shared" si="115"/>
        <v>33700077.454601161</v>
      </c>
      <c r="BM25" s="91">
        <f t="shared" si="116"/>
        <v>3.5344820191209477E-5</v>
      </c>
      <c r="BN25" s="91">
        <f t="shared" si="117"/>
        <v>1.5163596195486605E-6</v>
      </c>
      <c r="BO25" s="8">
        <f t="shared" si="129"/>
        <v>-3.3828460571660815E-5</v>
      </c>
      <c r="BP25" s="10"/>
      <c r="BQ25">
        <v>2019</v>
      </c>
      <c r="BR25" t="s">
        <v>3</v>
      </c>
      <c r="BS25">
        <f>236543.02</f>
        <v>236543.02</v>
      </c>
      <c r="BT25" s="14">
        <v>5168340000</v>
      </c>
      <c r="BU25" s="4"/>
      <c r="CC25" t="s">
        <v>20</v>
      </c>
      <c r="CD25">
        <v>1522.14</v>
      </c>
      <c r="CE25" s="8">
        <v>38216900</v>
      </c>
      <c r="CF25">
        <v>13090.6</v>
      </c>
      <c r="CG25" s="91">
        <f t="shared" si="106"/>
        <v>2663.7179299999998</v>
      </c>
      <c r="CH25" s="91">
        <f t="shared" si="107"/>
        <v>37415.729980011231</v>
      </c>
      <c r="CI25" s="91">
        <f t="shared" si="108"/>
        <v>4.0079447910011228E-8</v>
      </c>
      <c r="CJ25" s="91">
        <f t="shared" si="109"/>
        <v>4.6848434334459942E-9</v>
      </c>
      <c r="CM25" t="s">
        <v>43</v>
      </c>
      <c r="CO25" t="s">
        <v>1</v>
      </c>
      <c r="CP25">
        <v>999873.30000000121</v>
      </c>
      <c r="CQ25">
        <v>23597456766.259991</v>
      </c>
      <c r="CR25">
        <v>19095.3</v>
      </c>
      <c r="CS25" s="91">
        <f t="shared" si="118"/>
        <v>1644742.7366083213</v>
      </c>
      <c r="CT25" s="91">
        <f t="shared" si="119"/>
        <v>33700077.454601161</v>
      </c>
      <c r="CU25" s="91">
        <f t="shared" si="120"/>
        <v>3.5344820191209477E-5</v>
      </c>
      <c r="CV25" s="91">
        <f t="shared" si="121"/>
        <v>2.10956313625699E-6</v>
      </c>
      <c r="CW25" s="8">
        <f t="shared" si="131"/>
        <v>-3.3235257054952488E-5</v>
      </c>
    </row>
    <row r="26" spans="1:101" x14ac:dyDescent="0.35">
      <c r="B26" t="s">
        <v>4</v>
      </c>
      <c r="C26">
        <f>231713.16</f>
        <v>231713.16</v>
      </c>
      <c r="D26" s="13">
        <v>5152700000</v>
      </c>
      <c r="E26">
        <v>1519.17</v>
      </c>
      <c r="F26" s="8">
        <f>D26*$B$36</f>
        <v>359143.19</v>
      </c>
      <c r="G26" s="8">
        <f>D26*E26*$B$35</f>
        <v>585437.37845836952</v>
      </c>
      <c r="H26" s="8">
        <f>SUM(F26:G26)*0.000000000001</f>
        <v>9.445805684583695E-7</v>
      </c>
      <c r="I26" s="8">
        <f>D26*$B$37*0.000000000001</f>
        <v>1.2389793051850127E-7</v>
      </c>
      <c r="J26" s="8"/>
      <c r="K26" s="8"/>
      <c r="M26" s="1" t="s">
        <v>27</v>
      </c>
      <c r="Q26" s="8">
        <f>SUM(Q21:Q25)</f>
        <v>266118.42653</v>
      </c>
      <c r="R26" s="8">
        <f t="shared" ref="R26:T26" si="132">SUM(R21:R25)</f>
        <v>2003822.8085665824</v>
      </c>
      <c r="S26" s="8">
        <f t="shared" si="132"/>
        <v>2.2699412350965819E-6</v>
      </c>
      <c r="T26" s="8">
        <f t="shared" si="132"/>
        <v>4.4238286225996386E-7</v>
      </c>
      <c r="U26" s="8">
        <f>T26-S26</f>
        <v>-1.8275583728366181E-6</v>
      </c>
      <c r="V26" s="8"/>
      <c r="X26">
        <v>2019</v>
      </c>
      <c r="Y26" t="s">
        <v>24</v>
      </c>
      <c r="Z26">
        <v>1485024.6500000008</v>
      </c>
      <c r="AA26" s="8">
        <v>34587127556.550003</v>
      </c>
      <c r="AJ26" t="s">
        <v>4</v>
      </c>
      <c r="AK26">
        <f>231713.16</f>
        <v>231713.16</v>
      </c>
      <c r="AL26" s="13">
        <v>5152700000</v>
      </c>
      <c r="AM26">
        <v>1519.17</v>
      </c>
      <c r="AN26" s="91">
        <f>AL26*AJ$36</f>
        <v>359143.19</v>
      </c>
      <c r="AO26" s="91">
        <f>AL26*AM26*AJ$35</f>
        <v>585437.37845836952</v>
      </c>
      <c r="AP26" s="91">
        <f>SUM(AN26:AO26)*0.000000000001</f>
        <v>9.445805684583695E-7</v>
      </c>
      <c r="AQ26" s="91">
        <f>AL26*AJ$37*0.000000000001</f>
        <v>1.060291530036862E-7</v>
      </c>
      <c r="AR26" s="8"/>
      <c r="AS26" s="8"/>
      <c r="AU26" s="1" t="s">
        <v>27</v>
      </c>
      <c r="AY26" s="8">
        <f>SUM(AY21:AY25)</f>
        <v>266118.42653</v>
      </c>
      <c r="AZ26" s="8">
        <f t="shared" ref="AZ26:BB26" si="133">SUM(AZ21:AZ25)</f>
        <v>2003822.8085665824</v>
      </c>
      <c r="BA26" s="8">
        <f t="shared" si="133"/>
        <v>2.2699412350965819E-6</v>
      </c>
      <c r="BB26" s="8">
        <f t="shared" si="133"/>
        <v>4.2333836809380116E-7</v>
      </c>
      <c r="BC26" s="8">
        <f>BB26-BA26</f>
        <v>-1.8466028670027808E-6</v>
      </c>
      <c r="BD26" s="8"/>
      <c r="BF26">
        <v>2019</v>
      </c>
      <c r="BG26" t="s">
        <v>24</v>
      </c>
      <c r="BH26">
        <v>1485024.6500000008</v>
      </c>
      <c r="BI26" s="8">
        <v>34587127556.550003</v>
      </c>
      <c r="BR26" t="s">
        <v>4</v>
      </c>
      <c r="BS26">
        <f>231713.16</f>
        <v>231713.16</v>
      </c>
      <c r="BT26" s="13">
        <v>5152700000</v>
      </c>
      <c r="BU26">
        <v>1519.17</v>
      </c>
      <c r="BV26" s="91">
        <f>BT26*BR$36</f>
        <v>359143.19</v>
      </c>
      <c r="BW26" s="91">
        <f>BT26*BU26*BR$35</f>
        <v>585437.37845836952</v>
      </c>
      <c r="BX26" s="91">
        <f>SUM(BV26:BW26)*0.000000000001</f>
        <v>9.445805684583695E-7</v>
      </c>
      <c r="BY26" s="91">
        <f>BT26*BR$37*0.000000000001</f>
        <v>1.5208579546772151E-7</v>
      </c>
      <c r="BZ26" s="8"/>
      <c r="CA26" s="8"/>
      <c r="CC26" s="1" t="s">
        <v>27</v>
      </c>
      <c r="CG26" s="8">
        <f>SUM(CG21:CG25)</f>
        <v>266118.42653</v>
      </c>
      <c r="CH26" s="8">
        <f t="shared" ref="CH26:CJ26" si="134">SUM(CH21:CH25)</f>
        <v>2003822.8085665824</v>
      </c>
      <c r="CI26" s="8">
        <f t="shared" si="134"/>
        <v>2.2699412350965819E-6</v>
      </c>
      <c r="CJ26" s="8">
        <f t="shared" si="134"/>
        <v>4.6803873225722925E-7</v>
      </c>
      <c r="CK26" s="8">
        <f>CJ26-CI26</f>
        <v>-1.8019025028393527E-6</v>
      </c>
      <c r="CL26" s="8"/>
      <c r="CN26">
        <v>2019</v>
      </c>
      <c r="CO26" t="s">
        <v>24</v>
      </c>
      <c r="CP26">
        <v>1485024.6500000008</v>
      </c>
      <c r="CQ26" s="8">
        <v>34587127556.550003</v>
      </c>
    </row>
    <row r="27" spans="1:101" x14ac:dyDescent="0.35">
      <c r="B27" t="s">
        <v>5</v>
      </c>
      <c r="C27">
        <f>2558.59</f>
        <v>2558.59</v>
      </c>
      <c r="D27" s="13">
        <v>7620790</v>
      </c>
      <c r="E27" s="2">
        <v>5203.3100000000004</v>
      </c>
      <c r="F27" s="8">
        <f>D27*$B$36</f>
        <v>531.16906300000005</v>
      </c>
      <c r="G27" s="8">
        <f>D27*E27*$B$35</f>
        <v>2965.6432675620822</v>
      </c>
      <c r="H27" s="8">
        <f>SUM(F27:G27)*0.000000000001</f>
        <v>3.4968123305620819E-9</v>
      </c>
      <c r="I27" s="8">
        <f>D27*$B$37*0.000000000001</f>
        <v>1.8324375762533998E-10</v>
      </c>
      <c r="J27" s="8"/>
      <c r="K27" s="8"/>
      <c r="L27">
        <v>2021</v>
      </c>
      <c r="M27" t="s">
        <v>22</v>
      </c>
      <c r="N27">
        <v>170860.49</v>
      </c>
      <c r="O27" s="8">
        <v>3454720000</v>
      </c>
      <c r="W27" t="s">
        <v>42</v>
      </c>
      <c r="Y27" t="s">
        <v>1</v>
      </c>
      <c r="Z27">
        <f>Z26-(N38+C25)</f>
        <v>1147760.8400000008</v>
      </c>
      <c r="AA27" s="8">
        <f>AA26-(O38+D25)</f>
        <v>27261617556.550003</v>
      </c>
      <c r="AB27" s="2">
        <v>38.352499999999999</v>
      </c>
      <c r="AC27" s="8">
        <f>AA27*$Y$38</f>
        <v>1900134.7436915352</v>
      </c>
      <c r="AD27" s="8">
        <f>AA27*AB27*$Y$37</f>
        <v>78195.995632783903</v>
      </c>
      <c r="AE27" s="8">
        <f>SUM(AC27:AD27)*0.000000000001</f>
        <v>1.9783307393243192E-6</v>
      </c>
      <c r="AF27" s="8">
        <f>AA27*$Y$39*0.000000000001</f>
        <v>2.0448100657803874E-6</v>
      </c>
      <c r="AG27" s="8">
        <f>AF27-AE27</f>
        <v>6.6479326456068255E-8</v>
      </c>
      <c r="AH27" s="10"/>
      <c r="AJ27" t="s">
        <v>5</v>
      </c>
      <c r="AK27">
        <f>2558.59</f>
        <v>2558.59</v>
      </c>
      <c r="AL27" s="13">
        <v>7620790</v>
      </c>
      <c r="AM27" s="2">
        <v>5203.3100000000004</v>
      </c>
      <c r="AN27" s="91">
        <f>AL27*AJ$36</f>
        <v>531.16906300000005</v>
      </c>
      <c r="AO27" s="91">
        <f>AL27*AM27*AJ$35</f>
        <v>2965.6432675620822</v>
      </c>
      <c r="AP27" s="91">
        <f>SUM(AN27:AO27)*0.000000000001</f>
        <v>3.4968123305620819E-9</v>
      </c>
      <c r="AQ27" s="91">
        <f>AL27*AJ$37*0.000000000001</f>
        <v>1.5681602051719712E-10</v>
      </c>
      <c r="AR27" s="8"/>
      <c r="AS27" s="8"/>
      <c r="AT27">
        <v>2021</v>
      </c>
      <c r="AU27" t="s">
        <v>22</v>
      </c>
      <c r="AV27">
        <v>170860.49</v>
      </c>
      <c r="AW27" s="8">
        <v>3454720000</v>
      </c>
      <c r="BE27" t="s">
        <v>42</v>
      </c>
      <c r="BG27" t="s">
        <v>1</v>
      </c>
      <c r="BH27">
        <f>BH26-(AV38+AK25)</f>
        <v>1147760.8400000008</v>
      </c>
      <c r="BI27" s="8">
        <f>BI26-(AW38+AL25)</f>
        <v>27261617556.550003</v>
      </c>
      <c r="BJ27" s="2">
        <v>38.352499999999999</v>
      </c>
      <c r="BK27" s="91">
        <f t="shared" ref="BK27:BK29" si="135">BI27*BG$38</f>
        <v>1900134.7436915352</v>
      </c>
      <c r="BL27" s="91">
        <f t="shared" ref="BL27:BL29" si="136">BI27*BJ27*BG$37</f>
        <v>78195.995632783903</v>
      </c>
      <c r="BM27" s="91">
        <f t="shared" ref="BM27:BM29" si="137">SUM(BK27:BL27)*0.000000000001</f>
        <v>1.9783307393243192E-6</v>
      </c>
      <c r="BN27" s="91">
        <f t="shared" ref="BN27:BN29" si="138">BI27*BG$39*0.000000000001</f>
        <v>1.7518165807358342E-6</v>
      </c>
      <c r="BO27" s="8">
        <f>BN27-BM27</f>
        <v>-2.2651415858848501E-7</v>
      </c>
      <c r="BP27" s="10"/>
      <c r="BR27" t="s">
        <v>5</v>
      </c>
      <c r="BS27">
        <f>2558.59</f>
        <v>2558.59</v>
      </c>
      <c r="BT27" s="13">
        <v>7620790</v>
      </c>
      <c r="BU27" s="2">
        <v>5203.3100000000004</v>
      </c>
      <c r="BV27" s="91">
        <f>BT27*BR$36</f>
        <v>531.16906300000005</v>
      </c>
      <c r="BW27" s="91">
        <f>BT27*BU27*BR$35</f>
        <v>2965.6432675620822</v>
      </c>
      <c r="BX27" s="91">
        <f>SUM(BV27:BW27)*0.000000000001</f>
        <v>3.4968123305620819E-9</v>
      </c>
      <c r="BY27" s="91">
        <f>BT27*BR$37*0.000000000001</f>
        <v>2.2493331830738392E-10</v>
      </c>
      <c r="BZ27" s="8"/>
      <c r="CA27" s="8"/>
      <c r="CB27">
        <v>2021</v>
      </c>
      <c r="CC27" t="s">
        <v>22</v>
      </c>
      <c r="CD27">
        <v>170860.49</v>
      </c>
      <c r="CE27" s="8">
        <v>3454720000</v>
      </c>
      <c r="CM27" t="s">
        <v>42</v>
      </c>
      <c r="CO27" t="s">
        <v>1</v>
      </c>
      <c r="CP27">
        <f>CP26-(CD38+BS25)</f>
        <v>1147760.8400000008</v>
      </c>
      <c r="CQ27" s="8">
        <f>CQ26-(CE38+BT25)</f>
        <v>27261617556.550003</v>
      </c>
      <c r="CR27" s="2">
        <v>38.352499999999999</v>
      </c>
      <c r="CS27" s="91">
        <f t="shared" ref="CS27:CS29" si="139">CQ27*CO$38</f>
        <v>1900134.7436915352</v>
      </c>
      <c r="CT27" s="91">
        <f t="shared" ref="CT27:CT29" si="140">CQ27*CR27*CO$37</f>
        <v>78195.995632783903</v>
      </c>
      <c r="CU27" s="91">
        <f t="shared" ref="CU27:CU29" si="141">SUM(CS27:CT27)*0.000000000001</f>
        <v>1.9783307393243192E-6</v>
      </c>
      <c r="CV27" s="91">
        <f t="shared" ref="CV27:CV29" si="142">CQ27*CO$39*0.000000000001</f>
        <v>2.4371314248687636E-6</v>
      </c>
      <c r="CW27" s="8">
        <f>CV27-CU27</f>
        <v>4.5880068554444441E-7</v>
      </c>
    </row>
    <row r="28" spans="1:101" x14ac:dyDescent="0.35">
      <c r="B28" s="1" t="s">
        <v>27</v>
      </c>
      <c r="F28" s="8">
        <f t="shared" ref="F28:G28" si="143">SUM(F26:F27)</f>
        <v>359674.35906300001</v>
      </c>
      <c r="G28" s="8">
        <f t="shared" si="143"/>
        <v>588403.02172593155</v>
      </c>
      <c r="H28" s="8">
        <f>SUM(H26:H27)</f>
        <v>9.4807738078893154E-7</v>
      </c>
      <c r="I28" s="8">
        <f>SUM(I26:I27)</f>
        <v>1.2408117427612661E-7</v>
      </c>
      <c r="J28" s="8">
        <f>I28-H28</f>
        <v>-8.2399620651280494E-7</v>
      </c>
      <c r="K28" s="8"/>
      <c r="M28" t="s">
        <v>17</v>
      </c>
      <c r="N28">
        <v>69396.2</v>
      </c>
      <c r="O28" s="8">
        <v>1299080000</v>
      </c>
      <c r="P28">
        <v>10024.9</v>
      </c>
      <c r="Q28" s="8">
        <f>O28*$M$49</f>
        <v>90545.876000000004</v>
      </c>
      <c r="R28" s="8">
        <f>O28*P28*$M$48</f>
        <v>973991.48455304699</v>
      </c>
      <c r="S28" s="8">
        <f>SUM(Q28:R28)*0.000000000001</f>
        <v>1.0645373605530468E-6</v>
      </c>
      <c r="T28" s="8">
        <f>O28*$M$50*0.000000000001</f>
        <v>1.5051924180154503E-7</v>
      </c>
      <c r="W28" t="s">
        <v>47</v>
      </c>
      <c r="Y28" t="s">
        <v>1</v>
      </c>
      <c r="Z28">
        <v>1147760.8400000008</v>
      </c>
      <c r="AA28" s="8">
        <v>27261617556.550003</v>
      </c>
      <c r="AB28" s="2">
        <v>3240</v>
      </c>
      <c r="AC28" s="8">
        <f t="shared" ref="AC28:AC29" si="144">AA28*$Y$38</f>
        <v>1900134.7436915352</v>
      </c>
      <c r="AD28" s="8">
        <f t="shared" ref="AD28:AD29" si="145">AA28*AB28*$Y$37</f>
        <v>6605958.5646364605</v>
      </c>
      <c r="AE28" s="8">
        <f t="shared" ref="AE28:AE29" si="146">SUM(AC28:AD28)*0.000000000001</f>
        <v>8.5060933083279945E-6</v>
      </c>
      <c r="AF28" s="8">
        <f t="shared" ref="AF28:AF29" si="147">AA28*$Y$39*0.000000000001</f>
        <v>2.0448100657803874E-6</v>
      </c>
      <c r="AG28" s="8">
        <f t="shared" ref="AG28:AG29" si="148">AF28-AE28</f>
        <v>-6.4612832425476071E-6</v>
      </c>
      <c r="AH28" s="10"/>
      <c r="AJ28" s="1" t="s">
        <v>27</v>
      </c>
      <c r="AN28" s="8">
        <f t="shared" ref="AN28:AO28" si="149">SUM(AN26:AN27)</f>
        <v>359674.35906300001</v>
      </c>
      <c r="AO28" s="8">
        <f t="shared" si="149"/>
        <v>588403.02172593155</v>
      </c>
      <c r="AP28" s="8">
        <f>SUM(AP26:AP27)</f>
        <v>9.4807738078893154E-7</v>
      </c>
      <c r="AQ28" s="8">
        <f>SUM(AQ26:AQ27)</f>
        <v>1.061859690242034E-7</v>
      </c>
      <c r="AR28" s="8">
        <f>AQ28-AP28</f>
        <v>-8.4189141176472815E-7</v>
      </c>
      <c r="AS28" s="8"/>
      <c r="AU28" t="s">
        <v>17</v>
      </c>
      <c r="AV28">
        <v>69396.2</v>
      </c>
      <c r="AW28" s="8">
        <v>1299080000</v>
      </c>
      <c r="AX28">
        <v>10024.9</v>
      </c>
      <c r="AY28" s="91">
        <f t="shared" ref="AY28:AY31" si="150">AW28*AU$49</f>
        <v>90545.876000000004</v>
      </c>
      <c r="AZ28" s="91">
        <f t="shared" ref="AZ28:AZ31" si="151">AW28*AX28*AU$48</f>
        <v>973991.48455304699</v>
      </c>
      <c r="BA28" s="91">
        <f t="shared" ref="BA28:BA31" si="152">SUM(AY28:AZ28)*0.000000000001</f>
        <v>1.0645373605530468E-6</v>
      </c>
      <c r="BB28" s="91">
        <f t="shared" ref="BB28:BB31" si="153">AW28*AU$50*0.000000000001</f>
        <v>1.4403941840210188E-7</v>
      </c>
      <c r="BE28" t="s">
        <v>47</v>
      </c>
      <c r="BG28" t="s">
        <v>1</v>
      </c>
      <c r="BH28">
        <v>1147760.8400000008</v>
      </c>
      <c r="BI28" s="8">
        <v>27261617556.550003</v>
      </c>
      <c r="BJ28" s="2">
        <v>3240</v>
      </c>
      <c r="BK28" s="91">
        <f t="shared" si="135"/>
        <v>1900134.7436915352</v>
      </c>
      <c r="BL28" s="91">
        <f t="shared" si="136"/>
        <v>6605958.5646364605</v>
      </c>
      <c r="BM28" s="91">
        <f t="shared" si="137"/>
        <v>8.5060933083279945E-6</v>
      </c>
      <c r="BN28" s="91">
        <f t="shared" si="138"/>
        <v>1.7518165807358342E-6</v>
      </c>
      <c r="BO28" s="8">
        <f t="shared" ref="BO28:BO29" si="154">BN28-BM28</f>
        <v>-6.7542767275921606E-6</v>
      </c>
      <c r="BP28" s="10"/>
      <c r="BR28" s="1" t="s">
        <v>27</v>
      </c>
      <c r="BV28" s="8">
        <f t="shared" ref="BV28:BW28" si="155">SUM(BV26:BV27)</f>
        <v>359674.35906300001</v>
      </c>
      <c r="BW28" s="8">
        <f t="shared" si="155"/>
        <v>588403.02172593155</v>
      </c>
      <c r="BX28" s="8">
        <f>SUM(BX26:BX27)</f>
        <v>9.4807738078893154E-7</v>
      </c>
      <c r="BY28" s="8">
        <f>SUM(BY26:BY27)</f>
        <v>1.5231072878602891E-7</v>
      </c>
      <c r="BZ28" s="8">
        <f>BY28-BX28</f>
        <v>-7.9576665200290259E-7</v>
      </c>
      <c r="CA28" s="8"/>
      <c r="CC28" t="s">
        <v>17</v>
      </c>
      <c r="CD28">
        <v>69396.2</v>
      </c>
      <c r="CE28" s="8">
        <v>1299080000</v>
      </c>
      <c r="CF28">
        <v>10024.9</v>
      </c>
      <c r="CG28" s="91">
        <f t="shared" ref="CG28:CG31" si="156">CE28*CC$49</f>
        <v>90545.876000000004</v>
      </c>
      <c r="CH28" s="91">
        <f t="shared" ref="CH28:CH31" si="157">CE28*CF28*CC$48</f>
        <v>973991.48455304699</v>
      </c>
      <c r="CI28" s="91">
        <f t="shared" ref="CI28:CI31" si="158">SUM(CG28:CH28)*0.000000000001</f>
        <v>1.0645373605530468E-6</v>
      </c>
      <c r="CJ28" s="91">
        <f t="shared" ref="CJ28:CJ31" si="159">CE28*CC$50*0.000000000001</f>
        <v>1.5924856300539873E-7</v>
      </c>
      <c r="CM28" t="s">
        <v>47</v>
      </c>
      <c r="CO28" t="s">
        <v>1</v>
      </c>
      <c r="CP28">
        <v>1147760.8400000008</v>
      </c>
      <c r="CQ28" s="8">
        <v>27261617556.550003</v>
      </c>
      <c r="CR28" s="2">
        <v>3240</v>
      </c>
      <c r="CS28" s="91">
        <f t="shared" si="139"/>
        <v>1900134.7436915352</v>
      </c>
      <c r="CT28" s="91">
        <f t="shared" si="140"/>
        <v>6605958.5646364605</v>
      </c>
      <c r="CU28" s="91">
        <f t="shared" si="141"/>
        <v>8.5060933083279945E-6</v>
      </c>
      <c r="CV28" s="91">
        <f t="shared" si="142"/>
        <v>2.4371314248687636E-6</v>
      </c>
      <c r="CW28" s="8">
        <f t="shared" ref="CW28:CW29" si="160">CV28-CU28</f>
        <v>-6.0689618834592305E-6</v>
      </c>
    </row>
    <row r="29" spans="1:101" x14ac:dyDescent="0.35">
      <c r="D29" s="3"/>
      <c r="M29" t="s">
        <v>16</v>
      </c>
      <c r="N29">
        <v>53119.7</v>
      </c>
      <c r="O29" s="8">
        <v>1329750000</v>
      </c>
      <c r="P29">
        <v>4900.57</v>
      </c>
      <c r="Q29" s="8">
        <f t="shared" ref="Q29:Q31" si="161">O29*$M$49</f>
        <v>92683.574999999997</v>
      </c>
      <c r="R29" s="8">
        <f t="shared" ref="R29:R31" si="162">O29*P29*$M$48</f>
        <v>487366.65297385887</v>
      </c>
      <c r="S29" s="8">
        <f t="shared" ref="S29:S31" si="163">SUM(Q29:R29)*0.000000000001</f>
        <v>5.8005022797385881E-7</v>
      </c>
      <c r="T29" s="8">
        <f t="shared" ref="T29:T31" si="164">O29*$M$50*0.000000000001</f>
        <v>1.5407285293100078E-7</v>
      </c>
      <c r="W29" t="s">
        <v>43</v>
      </c>
      <c r="Y29" t="s">
        <v>1</v>
      </c>
      <c r="Z29">
        <v>1147760.8400000008</v>
      </c>
      <c r="AA29" s="8">
        <v>27261617556.550003</v>
      </c>
      <c r="AB29">
        <v>19095.3</v>
      </c>
      <c r="AC29" s="8">
        <f t="shared" si="144"/>
        <v>1900134.7436915352</v>
      </c>
      <c r="AD29" s="8">
        <f t="shared" si="145"/>
        <v>38932950.796081051</v>
      </c>
      <c r="AE29" s="8">
        <f t="shared" si="146"/>
        <v>4.0833085539772585E-5</v>
      </c>
      <c r="AF29" s="8">
        <f t="shared" si="147"/>
        <v>2.0448100657803874E-6</v>
      </c>
      <c r="AG29" s="8">
        <f t="shared" si="148"/>
        <v>-3.8788275473992198E-5</v>
      </c>
      <c r="AH29" s="10"/>
      <c r="AL29" s="3"/>
      <c r="AU29" t="s">
        <v>16</v>
      </c>
      <c r="AV29">
        <v>53119.7</v>
      </c>
      <c r="AW29" s="8">
        <v>1329750000</v>
      </c>
      <c r="AX29">
        <v>4900.57</v>
      </c>
      <c r="AY29" s="91">
        <f t="shared" si="150"/>
        <v>92683.574999999997</v>
      </c>
      <c r="AZ29" s="91">
        <f t="shared" si="151"/>
        <v>487366.65297385887</v>
      </c>
      <c r="BA29" s="91">
        <f t="shared" si="152"/>
        <v>5.8005022797385881E-7</v>
      </c>
      <c r="BB29" s="91">
        <f t="shared" si="153"/>
        <v>1.4744004727976332E-7</v>
      </c>
      <c r="BE29" t="s">
        <v>43</v>
      </c>
      <c r="BG29" t="s">
        <v>1</v>
      </c>
      <c r="BH29">
        <v>1147760.8400000008</v>
      </c>
      <c r="BI29" s="8">
        <v>27261617556.550003</v>
      </c>
      <c r="BJ29">
        <v>19095.3</v>
      </c>
      <c r="BK29" s="91">
        <f t="shared" si="135"/>
        <v>1900134.7436915352</v>
      </c>
      <c r="BL29" s="91">
        <f t="shared" si="136"/>
        <v>38932950.796081051</v>
      </c>
      <c r="BM29" s="91">
        <f t="shared" si="137"/>
        <v>4.0833085539772585E-5</v>
      </c>
      <c r="BN29" s="91">
        <f t="shared" si="138"/>
        <v>1.7518165807358342E-6</v>
      </c>
      <c r="BO29" s="8">
        <f t="shared" si="154"/>
        <v>-3.9081268959036751E-5</v>
      </c>
      <c r="BP29" s="10"/>
      <c r="BT29" s="3"/>
      <c r="CC29" t="s">
        <v>16</v>
      </c>
      <c r="CD29">
        <v>53119.7</v>
      </c>
      <c r="CE29" s="8">
        <v>1329750000</v>
      </c>
      <c r="CF29">
        <v>4900.57</v>
      </c>
      <c r="CG29" s="91">
        <f t="shared" si="156"/>
        <v>92683.574999999997</v>
      </c>
      <c r="CH29" s="91">
        <f t="shared" si="157"/>
        <v>487366.65297385887</v>
      </c>
      <c r="CI29" s="91">
        <f t="shared" si="158"/>
        <v>5.8005022797385881E-7</v>
      </c>
      <c r="CJ29" s="91">
        <f t="shared" si="159"/>
        <v>1.6300826481543013E-7</v>
      </c>
      <c r="CM29" t="s">
        <v>43</v>
      </c>
      <c r="CO29" t="s">
        <v>1</v>
      </c>
      <c r="CP29">
        <v>1147760.8400000008</v>
      </c>
      <c r="CQ29" s="8">
        <v>27261617556.550003</v>
      </c>
      <c r="CR29">
        <v>19095.3</v>
      </c>
      <c r="CS29" s="91">
        <f t="shared" si="139"/>
        <v>1900134.7436915352</v>
      </c>
      <c r="CT29" s="91">
        <f t="shared" si="140"/>
        <v>38932950.796081051</v>
      </c>
      <c r="CU29" s="91">
        <f t="shared" si="141"/>
        <v>4.0833085539772585E-5</v>
      </c>
      <c r="CV29" s="91">
        <f t="shared" si="142"/>
        <v>2.4371314248687636E-6</v>
      </c>
      <c r="CW29" s="8">
        <f t="shared" si="160"/>
        <v>-3.8395954114903825E-5</v>
      </c>
    </row>
    <row r="30" spans="1:101" x14ac:dyDescent="0.35">
      <c r="D30" s="3"/>
      <c r="E30" s="104" t="s">
        <v>49</v>
      </c>
      <c r="F30" s="1" t="s">
        <v>52</v>
      </c>
      <c r="G30" s="1" t="s">
        <v>51</v>
      </c>
      <c r="H30" s="1" t="s">
        <v>53</v>
      </c>
      <c r="I30" s="1" t="s">
        <v>53</v>
      </c>
      <c r="J30" s="19" t="s">
        <v>54</v>
      </c>
      <c r="M30" t="s">
        <v>18</v>
      </c>
      <c r="N30">
        <v>29785.43</v>
      </c>
      <c r="O30" s="8">
        <v>701646000</v>
      </c>
      <c r="P30">
        <v>4511.93</v>
      </c>
      <c r="Q30" s="8">
        <f t="shared" si="161"/>
        <v>48904.726199999997</v>
      </c>
      <c r="R30" s="8">
        <f t="shared" si="162"/>
        <v>236766.15478806334</v>
      </c>
      <c r="S30" s="8">
        <f t="shared" si="163"/>
        <v>2.8567088098806336E-7</v>
      </c>
      <c r="T30" s="8">
        <f t="shared" si="164"/>
        <v>8.1296936241868772E-8</v>
      </c>
      <c r="AL30" s="3"/>
      <c r="AM30" s="104" t="s">
        <v>49</v>
      </c>
      <c r="AN30" s="1" t="s">
        <v>52</v>
      </c>
      <c r="AO30" s="1" t="s">
        <v>51</v>
      </c>
      <c r="AP30" s="1" t="s">
        <v>53</v>
      </c>
      <c r="AQ30" s="1" t="s">
        <v>53</v>
      </c>
      <c r="AR30" s="19" t="s">
        <v>54</v>
      </c>
      <c r="AU30" t="s">
        <v>18</v>
      </c>
      <c r="AV30">
        <v>29785.43</v>
      </c>
      <c r="AW30" s="8">
        <v>701646000</v>
      </c>
      <c r="AX30">
        <v>4511.93</v>
      </c>
      <c r="AY30" s="91">
        <f t="shared" si="150"/>
        <v>48904.726199999997</v>
      </c>
      <c r="AZ30" s="91">
        <f t="shared" si="151"/>
        <v>236766.15478806334</v>
      </c>
      <c r="BA30" s="91">
        <f t="shared" si="152"/>
        <v>2.8567088098806336E-7</v>
      </c>
      <c r="BB30" s="91">
        <f t="shared" si="153"/>
        <v>7.7797119318410855E-8</v>
      </c>
      <c r="BT30" s="3"/>
      <c r="BU30" s="104" t="s">
        <v>49</v>
      </c>
      <c r="BV30" s="1" t="s">
        <v>52</v>
      </c>
      <c r="BW30" s="1" t="s">
        <v>51</v>
      </c>
      <c r="BX30" s="1" t="s">
        <v>53</v>
      </c>
      <c r="BY30" s="1" t="s">
        <v>53</v>
      </c>
      <c r="BZ30" s="19" t="s">
        <v>54</v>
      </c>
      <c r="CC30" t="s">
        <v>18</v>
      </c>
      <c r="CD30">
        <v>29785.43</v>
      </c>
      <c r="CE30" s="8">
        <v>701646000</v>
      </c>
      <c r="CF30">
        <v>4511.93</v>
      </c>
      <c r="CG30" s="91">
        <f t="shared" si="156"/>
        <v>48904.726199999997</v>
      </c>
      <c r="CH30" s="91">
        <f t="shared" si="157"/>
        <v>236766.15478806334</v>
      </c>
      <c r="CI30" s="91">
        <f t="shared" si="158"/>
        <v>2.8567088098806336E-7</v>
      </c>
      <c r="CJ30" s="91">
        <f t="shared" si="159"/>
        <v>8.6011729253383936E-8</v>
      </c>
    </row>
    <row r="31" spans="1:101" ht="16.5" x14ac:dyDescent="0.45">
      <c r="A31" s="3" t="s">
        <v>48</v>
      </c>
      <c r="B31" s="8">
        <f>36100000*0.000000001</f>
        <v>3.61E-2</v>
      </c>
      <c r="C31" s="8">
        <f>((I8-H8)/B31)*100</f>
        <v>-2.8414105008535816E-3</v>
      </c>
      <c r="E31" s="104"/>
      <c r="F31" s="1" t="s">
        <v>42</v>
      </c>
      <c r="G31" s="1" t="s">
        <v>42</v>
      </c>
      <c r="H31" s="1" t="s">
        <v>42</v>
      </c>
      <c r="I31" s="1" t="s">
        <v>42</v>
      </c>
      <c r="J31" s="1" t="s">
        <v>42</v>
      </c>
      <c r="M31" t="s">
        <v>19</v>
      </c>
      <c r="N31">
        <v>4713.3500000000004</v>
      </c>
      <c r="O31" s="8">
        <v>71066200</v>
      </c>
      <c r="P31">
        <v>13389.8</v>
      </c>
      <c r="Q31" s="8">
        <f t="shared" si="161"/>
        <v>4953.3141400000004</v>
      </c>
      <c r="R31" s="8">
        <f t="shared" si="162"/>
        <v>71166.629533662868</v>
      </c>
      <c r="S31" s="8">
        <f t="shared" si="163"/>
        <v>7.6119943673662867E-8</v>
      </c>
      <c r="T31" s="8">
        <f t="shared" si="164"/>
        <v>8.2341584365219699E-9</v>
      </c>
      <c r="AB31" s="104" t="s">
        <v>50</v>
      </c>
      <c r="AC31" s="1" t="s">
        <v>52</v>
      </c>
      <c r="AD31" s="1" t="s">
        <v>51</v>
      </c>
      <c r="AE31" s="1" t="s">
        <v>53</v>
      </c>
      <c r="AF31" s="1" t="s">
        <v>53</v>
      </c>
      <c r="AG31" s="19" t="s">
        <v>54</v>
      </c>
      <c r="AH31" s="27"/>
      <c r="AI31" s="3" t="s">
        <v>48</v>
      </c>
      <c r="AJ31" s="8">
        <f>36100000*0.000000001</f>
        <v>3.61E-2</v>
      </c>
      <c r="AK31" s="8">
        <f>((AQ8-AP8)/AJ31)*100</f>
        <v>-2.9031665907396174E-3</v>
      </c>
      <c r="AM31" s="104"/>
      <c r="AN31" s="1" t="s">
        <v>42</v>
      </c>
      <c r="AO31" s="1" t="s">
        <v>42</v>
      </c>
      <c r="AP31" s="1" t="s">
        <v>42</v>
      </c>
      <c r="AQ31" s="1" t="s">
        <v>42</v>
      </c>
      <c r="AR31" s="1" t="s">
        <v>42</v>
      </c>
      <c r="AU31" t="s">
        <v>19</v>
      </c>
      <c r="AV31">
        <v>4713.3500000000004</v>
      </c>
      <c r="AW31" s="8">
        <v>71066200</v>
      </c>
      <c r="AX31">
        <v>13389.8</v>
      </c>
      <c r="AY31" s="91">
        <f t="shared" si="150"/>
        <v>4953.3141400000004</v>
      </c>
      <c r="AZ31" s="91">
        <f t="shared" si="151"/>
        <v>71166.629533662868</v>
      </c>
      <c r="BA31" s="91">
        <f t="shared" si="152"/>
        <v>7.6119943673662867E-8</v>
      </c>
      <c r="BB31" s="91">
        <f t="shared" si="153"/>
        <v>7.8796795547983586E-9</v>
      </c>
      <c r="BJ31" s="104" t="s">
        <v>49</v>
      </c>
      <c r="BK31" s="1" t="s">
        <v>52</v>
      </c>
      <c r="BL31" s="1" t="s">
        <v>51</v>
      </c>
      <c r="BM31" s="1" t="s">
        <v>53</v>
      </c>
      <c r="BN31" s="1" t="s">
        <v>53</v>
      </c>
      <c r="BO31" s="19" t="s">
        <v>54</v>
      </c>
      <c r="BP31" s="27"/>
      <c r="BQ31" s="3" t="s">
        <v>48</v>
      </c>
      <c r="BR31" s="8">
        <f>36100000*0.000000001</f>
        <v>3.61E-2</v>
      </c>
      <c r="BS31" s="8">
        <f>((BY8-BX8)/BR31)*100</f>
        <v>-2.7439907238119691E-3</v>
      </c>
      <c r="BU31" s="104"/>
      <c r="BV31" s="1" t="s">
        <v>42</v>
      </c>
      <c r="BW31" s="1" t="s">
        <v>42</v>
      </c>
      <c r="BX31" s="1" t="s">
        <v>42</v>
      </c>
      <c r="BY31" s="1" t="s">
        <v>42</v>
      </c>
      <c r="BZ31" s="1" t="s">
        <v>42</v>
      </c>
      <c r="CC31" t="s">
        <v>19</v>
      </c>
      <c r="CD31">
        <v>4713.3500000000004</v>
      </c>
      <c r="CE31" s="8">
        <v>71066200</v>
      </c>
      <c r="CF31">
        <v>13389.8</v>
      </c>
      <c r="CG31" s="91">
        <f t="shared" si="156"/>
        <v>4953.3141400000004</v>
      </c>
      <c r="CH31" s="91">
        <f t="shared" si="157"/>
        <v>71166.629533662868</v>
      </c>
      <c r="CI31" s="91">
        <f t="shared" si="158"/>
        <v>7.6119943673662867E-8</v>
      </c>
      <c r="CJ31" s="91">
        <f t="shared" si="159"/>
        <v>8.7116961451598557E-9</v>
      </c>
      <c r="CR31" s="104" t="s">
        <v>50</v>
      </c>
      <c r="CS31" s="1" t="s">
        <v>52</v>
      </c>
      <c r="CT31" s="1" t="s">
        <v>51</v>
      </c>
      <c r="CU31" s="1" t="s">
        <v>53</v>
      </c>
      <c r="CV31" s="1" t="s">
        <v>53</v>
      </c>
      <c r="CW31" s="19" t="s">
        <v>54</v>
      </c>
    </row>
    <row r="32" spans="1:101" ht="14.5" customHeight="1" x14ac:dyDescent="0.35">
      <c r="D32" s="3"/>
      <c r="E32" s="104"/>
      <c r="F32" s="8">
        <f>MIN(F8,F12,F16,F20,F24,F28)</f>
        <v>285005.32129999995</v>
      </c>
      <c r="G32" s="8">
        <f>MIN(G8,G12,G16,G20,G24,G28)</f>
        <v>467913.81452567759</v>
      </c>
      <c r="H32" s="8">
        <f>MIN(H8,H12,H16,H20,H24,H28)</f>
        <v>7.5291913582567743E-7</v>
      </c>
      <c r="I32" s="8">
        <f>MIN(I8,I12,I16,I20,I24,I28)</f>
        <v>9.832170142452243E-8</v>
      </c>
      <c r="J32" s="8">
        <f>MIN(J8,J12,J16,J20,J24,J28)</f>
        <v>-1.025749190808143E-6</v>
      </c>
      <c r="K32" s="8"/>
      <c r="M32" s="1" t="s">
        <v>27</v>
      </c>
      <c r="O32" s="8"/>
      <c r="Q32" s="8">
        <f>SUM(Q28:Q31)</f>
        <v>237087.49134000001</v>
      </c>
      <c r="R32" s="8">
        <f t="shared" ref="R32:T32" si="165">SUM(R28:R31)</f>
        <v>1769290.9218486322</v>
      </c>
      <c r="S32" s="8">
        <f t="shared" si="165"/>
        <v>2.0063784131886316E-6</v>
      </c>
      <c r="T32" s="8">
        <f t="shared" si="165"/>
        <v>3.9412318941093651E-7</v>
      </c>
      <c r="U32" s="8">
        <f>T32-S32</f>
        <v>-1.6122552237776951E-6</v>
      </c>
      <c r="V32" s="8"/>
      <c r="AB32" s="104"/>
      <c r="AC32" s="1" t="s">
        <v>42</v>
      </c>
      <c r="AD32" s="1" t="s">
        <v>42</v>
      </c>
      <c r="AE32" s="1" t="s">
        <v>42</v>
      </c>
      <c r="AF32" s="1" t="s">
        <v>42</v>
      </c>
      <c r="AG32" s="1" t="s">
        <v>42</v>
      </c>
      <c r="AH32" s="28"/>
      <c r="AL32" s="3"/>
      <c r="AM32" s="104"/>
      <c r="AN32" s="8">
        <f>MIN(AN8,AN12,AN16,AN20,AN24,AN28)</f>
        <v>285005.32129999995</v>
      </c>
      <c r="AO32" s="8">
        <f>MIN(AO8,AO12,AO16,AO20,AO24,AO28)</f>
        <v>467913.81452567759</v>
      </c>
      <c r="AP32" s="8">
        <f>MIN(AP8,AP12,AP16,AP20,AP24,AP28)</f>
        <v>7.5291913582567743E-7</v>
      </c>
      <c r="AQ32" s="8">
        <f>MIN(AQ8,AQ12,AQ16,AQ20,AQ24,AQ28)</f>
        <v>8.4141572666273981E-8</v>
      </c>
      <c r="AR32" s="8">
        <f>MIN(AR8,AR12,AR16,AR20,AR24,AR28)</f>
        <v>-1.0480431392570019E-6</v>
      </c>
      <c r="AS32" s="8"/>
      <c r="AU32" s="1" t="s">
        <v>27</v>
      </c>
      <c r="AW32" s="8"/>
      <c r="AY32" s="8">
        <f>SUM(AY28:AY31)</f>
        <v>237087.49134000001</v>
      </c>
      <c r="AZ32" s="8">
        <f t="shared" ref="AZ32:BB32" si="166">SUM(AZ28:AZ31)</f>
        <v>1769290.9218486322</v>
      </c>
      <c r="BA32" s="8">
        <f t="shared" si="166"/>
        <v>2.0063784131886316E-6</v>
      </c>
      <c r="BB32" s="8">
        <f t="shared" si="166"/>
        <v>3.7715626455507443E-7</v>
      </c>
      <c r="BC32" s="8">
        <f>BB32-BA32</f>
        <v>-1.6292221486335572E-6</v>
      </c>
      <c r="BD32" s="8"/>
      <c r="BJ32" s="104"/>
      <c r="BK32" s="1" t="s">
        <v>42</v>
      </c>
      <c r="BL32" s="1" t="s">
        <v>42</v>
      </c>
      <c r="BM32" s="1" t="s">
        <v>42</v>
      </c>
      <c r="BN32" s="1" t="s">
        <v>42</v>
      </c>
      <c r="BO32" s="1" t="s">
        <v>42</v>
      </c>
      <c r="BP32" s="28"/>
      <c r="BT32" s="3"/>
      <c r="BU32" s="104"/>
      <c r="BV32" s="8">
        <f>MIN(BV8,BV12,BV16,BV20,BV24,BV28)</f>
        <v>285005.32129999995</v>
      </c>
      <c r="BW32" s="8">
        <f>MIN(BW8,BW12,BW16,BW20,BW24,BW28)</f>
        <v>467913.81452567759</v>
      </c>
      <c r="BX32" s="8">
        <f>MIN(BX8,BX12,BX16,BX20,BX24,BX28)</f>
        <v>7.5291913582567743E-7</v>
      </c>
      <c r="BY32" s="8">
        <f>MIN(BY8,BY12,BY16,BY20,BY24,BY28)</f>
        <v>1.2069075012237889E-7</v>
      </c>
      <c r="BZ32" s="8">
        <f>MIN(BZ8,BZ12,BZ16,BZ20,BZ24,BZ28)</f>
        <v>-9.9058065129612092E-7</v>
      </c>
      <c r="CA32" s="8"/>
      <c r="CC32" s="1" t="s">
        <v>27</v>
      </c>
      <c r="CE32" s="8"/>
      <c r="CG32" s="8">
        <f>SUM(CG28:CG31)</f>
        <v>237087.49134000001</v>
      </c>
      <c r="CH32" s="8">
        <f t="shared" ref="CH32:CJ32" si="167">SUM(CH28:CH31)</f>
        <v>1769290.9218486322</v>
      </c>
      <c r="CI32" s="8">
        <f t="shared" si="167"/>
        <v>2.0063784131886316E-6</v>
      </c>
      <c r="CJ32" s="8">
        <f t="shared" si="167"/>
        <v>4.1698025321937268E-7</v>
      </c>
      <c r="CK32" s="8">
        <f>CJ32-CI32</f>
        <v>-1.5893981599692589E-6</v>
      </c>
      <c r="CL32" s="8"/>
      <c r="CR32" s="104"/>
      <c r="CS32" s="1" t="s">
        <v>42</v>
      </c>
      <c r="CT32" s="1" t="s">
        <v>42</v>
      </c>
      <c r="CU32" s="1" t="s">
        <v>42</v>
      </c>
      <c r="CV32" s="1" t="s">
        <v>42</v>
      </c>
      <c r="CW32" s="1" t="s">
        <v>42</v>
      </c>
    </row>
    <row r="33" spans="1:101" x14ac:dyDescent="0.35">
      <c r="D33" s="3"/>
      <c r="E33" s="104"/>
      <c r="F33" s="1" t="s">
        <v>41</v>
      </c>
      <c r="G33" s="1" t="s">
        <v>41</v>
      </c>
      <c r="H33" s="1" t="s">
        <v>41</v>
      </c>
      <c r="I33" s="1" t="s">
        <v>41</v>
      </c>
      <c r="J33" s="1" t="s">
        <v>41</v>
      </c>
      <c r="L33">
        <v>2020</v>
      </c>
      <c r="M33" t="s">
        <v>22</v>
      </c>
      <c r="N33">
        <v>139132.1</v>
      </c>
      <c r="O33" s="8">
        <v>3396870000</v>
      </c>
      <c r="AB33" s="104"/>
      <c r="AC33" s="8">
        <f>MIN(AC6,AC10,AC14,AC18,AC23,AC27)</f>
        <v>1084961.4621957003</v>
      </c>
      <c r="AD33" s="56">
        <f t="shared" ref="AD33:AG33" si="168">MIN(AD6,AD10,AD14,AD18,AD23,AD27)</f>
        <v>44649.276605915555</v>
      </c>
      <c r="AE33" s="56">
        <f t="shared" si="168"/>
        <v>1.1296107388016158E-6</v>
      </c>
      <c r="AF33" s="56">
        <f t="shared" si="168"/>
        <v>1.167569892739001E-6</v>
      </c>
      <c r="AG33" s="56">
        <f t="shared" si="168"/>
        <v>3.7959153937385159E-8</v>
      </c>
      <c r="AL33" s="3"/>
      <c r="AM33" s="104"/>
      <c r="AN33" s="1" t="s">
        <v>41</v>
      </c>
      <c r="AO33" s="1" t="s">
        <v>41</v>
      </c>
      <c r="AP33" s="1" t="s">
        <v>41</v>
      </c>
      <c r="AQ33" s="1" t="s">
        <v>41</v>
      </c>
      <c r="AR33" s="1" t="s">
        <v>41</v>
      </c>
      <c r="AT33">
        <v>2020</v>
      </c>
      <c r="AU33" t="s">
        <v>22</v>
      </c>
      <c r="AV33">
        <v>139132.1</v>
      </c>
      <c r="AW33" s="8">
        <v>3396870000</v>
      </c>
      <c r="BJ33" s="104"/>
      <c r="BK33" s="8">
        <f>MIN(BK6:BK8,BK10:BK12,BK14:BK16,BK18:BK20,BK23:BK25,BK27:BK29)</f>
        <v>1084961.4621957003</v>
      </c>
      <c r="BL33" s="91">
        <f t="shared" ref="BL33:BO33" si="169">MIN(BL6:BL8,BL10:BL12,BL14:BL16,BL18:BL20,BL23:BL25,BL27:BL29)</f>
        <v>44649.276605915555</v>
      </c>
      <c r="BM33" s="91">
        <f t="shared" si="169"/>
        <v>1.1296107388016158E-6</v>
      </c>
      <c r="BN33" s="91">
        <f t="shared" si="169"/>
        <v>1.0002729991880889E-6</v>
      </c>
      <c r="BO33" s="91">
        <f t="shared" si="169"/>
        <v>-3.9738380554794597E-5</v>
      </c>
      <c r="BT33" s="3"/>
      <c r="BU33" s="104"/>
      <c r="BV33" s="1" t="s">
        <v>41</v>
      </c>
      <c r="BW33" s="1" t="s">
        <v>41</v>
      </c>
      <c r="BX33" s="1" t="s">
        <v>41</v>
      </c>
      <c r="BY33" s="1" t="s">
        <v>41</v>
      </c>
      <c r="BZ33" s="1" t="s">
        <v>41</v>
      </c>
      <c r="CB33">
        <v>2020</v>
      </c>
      <c r="CC33" t="s">
        <v>22</v>
      </c>
      <c r="CD33">
        <v>139132.1</v>
      </c>
      <c r="CE33" s="8">
        <v>3396870000</v>
      </c>
      <c r="CR33" s="104"/>
      <c r="CS33" s="8">
        <f>MIN(CS6,CS10,CS14,CS18,CS23,CS27)</f>
        <v>1084961.4621957003</v>
      </c>
      <c r="CT33" s="56">
        <f t="shared" ref="CT33:CV33" si="170">MIN(CT6,CT10,CT14,CT18,CT23,CT27)</f>
        <v>44649.276605915555</v>
      </c>
      <c r="CU33" s="56">
        <f t="shared" si="170"/>
        <v>1.1296107388016158E-6</v>
      </c>
      <c r="CV33" s="56">
        <f t="shared" si="170"/>
        <v>1.3915821933509984E-6</v>
      </c>
      <c r="CW33" s="56">
        <f>MIN(CW6,CW10,CW14,CW18,CW23,CW27)</f>
        <v>2.6197145454938259E-7</v>
      </c>
    </row>
    <row r="34" spans="1:101" x14ac:dyDescent="0.35">
      <c r="A34" t="s">
        <v>36</v>
      </c>
      <c r="B34" t="s">
        <v>39</v>
      </c>
      <c r="C34" t="s">
        <v>9</v>
      </c>
      <c r="D34" s="3"/>
      <c r="E34" s="104"/>
      <c r="F34" s="8">
        <f>MEDIAN(F8,F12,F16,F20,F24,F28)</f>
        <v>374355.8001315</v>
      </c>
      <c r="G34" s="8">
        <f>MEDIAN(G8,G12,G16,G20,G24,G28)</f>
        <v>613356.73125893669</v>
      </c>
      <c r="H34" s="8">
        <f>MEDIAN(H8,H12,H16,H20,H24,H28)</f>
        <v>9.8771253139043657E-7</v>
      </c>
      <c r="I34" s="8">
        <f>MEDIAN(I8,I12,I16,I20,I24,I28)</f>
        <v>1.2914600695586218E-7</v>
      </c>
      <c r="J34" s="8">
        <f>MEDIAN(J8,J12,J16,J20,J24,J28)</f>
        <v>-8.5856652443457452E-7</v>
      </c>
      <c r="K34" s="8"/>
      <c r="M34" t="s">
        <v>17</v>
      </c>
      <c r="N34">
        <v>60926.9</v>
      </c>
      <c r="O34" s="8">
        <v>1260650000</v>
      </c>
      <c r="P34">
        <v>10024.9</v>
      </c>
      <c r="Q34" s="8">
        <f>O34*$M$49</f>
        <v>87867.304999999993</v>
      </c>
      <c r="R34" s="8">
        <f>O34*P34*$M$48</f>
        <v>945178.40702789568</v>
      </c>
      <c r="S34" s="8">
        <f>SUM(Q34:R34)*0.000000000001</f>
        <v>1.0330457120278957E-6</v>
      </c>
      <c r="T34" s="8">
        <f>O34*$M$50*0.000000000001</f>
        <v>1.4606651028198246E-7</v>
      </c>
      <c r="AB34" s="104"/>
      <c r="AC34" s="1" t="s">
        <v>41</v>
      </c>
      <c r="AD34" s="1" t="s">
        <v>41</v>
      </c>
      <c r="AE34" s="1" t="s">
        <v>41</v>
      </c>
      <c r="AF34" s="1" t="s">
        <v>41</v>
      </c>
      <c r="AG34" s="1" t="s">
        <v>41</v>
      </c>
      <c r="AH34" s="28"/>
      <c r="AI34" t="s">
        <v>36</v>
      </c>
      <c r="AJ34" t="s">
        <v>39</v>
      </c>
      <c r="AK34" t="s">
        <v>9</v>
      </c>
      <c r="AL34" s="3"/>
      <c r="AM34" s="104"/>
      <c r="AN34" s="8">
        <f>MEDIAN(AN8,AN12,AN16,AN20,AN24,AN28)</f>
        <v>374355.8001315</v>
      </c>
      <c r="AO34" s="8">
        <f>MEDIAN(AO8,AO12,AO16,AO20,AO24,AO28)</f>
        <v>613356.73125893669</v>
      </c>
      <c r="AP34" s="8">
        <f>MEDIAN(AP8,AP12,AP16,AP20,AP24,AP28)</f>
        <v>9.8771253139043657E-7</v>
      </c>
      <c r="AQ34" s="8">
        <f>MEDIAN(AQ8,AQ12,AQ16,AQ20,AQ24,AQ28)</f>
        <v>1.1052034262423349E-7</v>
      </c>
      <c r="AR34" s="8">
        <f>MEDIAN(AR8,AR12,AR16,AR20,AR24,AR28)</f>
        <v>-8.7719218876620322E-7</v>
      </c>
      <c r="AS34" s="8"/>
      <c r="AU34" t="s">
        <v>17</v>
      </c>
      <c r="AV34">
        <v>60926.9</v>
      </c>
      <c r="AW34" s="8">
        <v>1260650000</v>
      </c>
      <c r="AX34">
        <v>10024.9</v>
      </c>
      <c r="AY34" s="91">
        <f t="shared" ref="AY34:AY36" si="171">AW34*AU$49</f>
        <v>87867.304999999993</v>
      </c>
      <c r="AZ34" s="91">
        <f t="shared" ref="AZ34:AZ36" si="172">AW34*AX34*AU$48</f>
        <v>945178.40702789568</v>
      </c>
      <c r="BA34" s="91">
        <f t="shared" ref="BA34:BA36" si="173">SUM(AY34:AZ34)*0.000000000001</f>
        <v>1.0330457120278957E-6</v>
      </c>
      <c r="BB34" s="91">
        <f t="shared" ref="BB34:BB36" si="174">AW34*AU$50*0.000000000001</f>
        <v>1.3977837608816219E-7</v>
      </c>
      <c r="BJ34" s="104"/>
      <c r="BK34" s="1" t="s">
        <v>41</v>
      </c>
      <c r="BL34" s="1" t="s">
        <v>41</v>
      </c>
      <c r="BM34" s="1" t="s">
        <v>41</v>
      </c>
      <c r="BN34" s="1" t="s">
        <v>41</v>
      </c>
      <c r="BO34" s="1" t="s">
        <v>41</v>
      </c>
      <c r="BP34" s="28"/>
      <c r="BQ34" t="s">
        <v>36</v>
      </c>
      <c r="BR34" t="s">
        <v>39</v>
      </c>
      <c r="BS34" t="s">
        <v>9</v>
      </c>
      <c r="BT34" s="3"/>
      <c r="BU34" s="104"/>
      <c r="BV34" s="8">
        <f>MEDIAN(BV8,BV12,BV16,BV20,BV24,BV28)</f>
        <v>374355.8001315</v>
      </c>
      <c r="BW34" s="8">
        <f>MEDIAN(BW8,BW12,BW16,BW20,BW24,BW28)</f>
        <v>613356.73125893669</v>
      </c>
      <c r="BX34" s="8">
        <f>MEDIAN(BX8,BX12,BX16,BX20,BX24,BX28)</f>
        <v>9.8771253139043657E-7</v>
      </c>
      <c r="BY34" s="8">
        <f>MEDIAN(BY8,BY12,BY16,BY20,BY24,BY28)</f>
        <v>1.5852785528511495E-7</v>
      </c>
      <c r="BZ34" s="8">
        <f>MEDIAN(BZ8,BZ12,BZ16,BZ20,BZ24,BZ28)</f>
        <v>-8.291846761053217E-7</v>
      </c>
      <c r="CA34" s="8"/>
      <c r="CC34" t="s">
        <v>17</v>
      </c>
      <c r="CD34">
        <v>60926.9</v>
      </c>
      <c r="CE34" s="8">
        <v>1260650000</v>
      </c>
      <c r="CF34">
        <v>10024.9</v>
      </c>
      <c r="CG34" s="91">
        <f t="shared" ref="CG34:CG36" si="175">CE34*CC$49</f>
        <v>87867.304999999993</v>
      </c>
      <c r="CH34" s="91">
        <f t="shared" ref="CH34:CH36" si="176">CE34*CF34*CC$48</f>
        <v>945178.40702789568</v>
      </c>
      <c r="CI34" s="91">
        <f t="shared" ref="CI34:CI36" si="177">SUM(CG34:CH34)*0.000000000001</f>
        <v>1.0330457120278957E-6</v>
      </c>
      <c r="CJ34" s="91">
        <f t="shared" ref="CJ34:CJ36" si="178">CE34*CC$50*0.000000000001</f>
        <v>1.545375965704621E-7</v>
      </c>
      <c r="CR34" s="104"/>
      <c r="CS34" s="1" t="s">
        <v>41</v>
      </c>
      <c r="CT34" s="1" t="s">
        <v>41</v>
      </c>
      <c r="CU34" s="1" t="s">
        <v>41</v>
      </c>
      <c r="CV34" s="1" t="s">
        <v>41</v>
      </c>
      <c r="CW34" s="1" t="s">
        <v>41</v>
      </c>
    </row>
    <row r="35" spans="1:101" x14ac:dyDescent="0.35">
      <c r="A35" t="s">
        <v>30</v>
      </c>
      <c r="B35" s="47">
        <v>7.4789256212222395E-8</v>
      </c>
      <c r="C35" s="57" t="s">
        <v>12</v>
      </c>
      <c r="E35" s="104"/>
      <c r="F35" s="1" t="s">
        <v>43</v>
      </c>
      <c r="G35" s="1" t="s">
        <v>43</v>
      </c>
      <c r="H35" s="1" t="s">
        <v>43</v>
      </c>
      <c r="I35" s="1" t="s">
        <v>43</v>
      </c>
      <c r="J35" s="1" t="s">
        <v>43</v>
      </c>
      <c r="M35" t="s">
        <v>18</v>
      </c>
      <c r="N35">
        <v>44574.51</v>
      </c>
      <c r="O35" s="8">
        <v>1442260000</v>
      </c>
      <c r="P35">
        <v>4511.93</v>
      </c>
      <c r="Q35" s="8">
        <f t="shared" ref="Q35:Q36" si="179">O35*$M$49</f>
        <v>100525.522</v>
      </c>
      <c r="R35" s="8">
        <f t="shared" ref="R35:R36" si="180">O35*P35*$M$48</f>
        <v>486681.82303416857</v>
      </c>
      <c r="S35" s="8">
        <f t="shared" ref="S35:S36" si="181">SUM(Q35:R35)*0.000000000001</f>
        <v>5.872073450341686E-7</v>
      </c>
      <c r="T35" s="8">
        <f t="shared" ref="T35:T36" si="182">O35*$M$50*0.000000000001</f>
        <v>1.6710893992725341E-7</v>
      </c>
      <c r="AB35" s="104"/>
      <c r="AC35" s="8">
        <f>MEDIAN(AC6,AC10,AC14,AC18,AC23,AC27)</f>
        <v>1677166.9336396973</v>
      </c>
      <c r="AD35" s="56">
        <f t="shared" ref="AD35:AG35" si="183">MEDIAN(AD6,AD10,AD14,AD18,AD23,AD27)</f>
        <v>69020.230619828959</v>
      </c>
      <c r="AE35" s="56">
        <f t="shared" si="183"/>
        <v>1.7461871642595264E-6</v>
      </c>
      <c r="AF35" s="56">
        <f t="shared" si="183"/>
        <v>1.8048655966564535E-6</v>
      </c>
      <c r="AG35" s="56">
        <f t="shared" si="183"/>
        <v>5.8678432396927021E-8</v>
      </c>
      <c r="AI35" t="s">
        <v>30</v>
      </c>
      <c r="AJ35" s="50">
        <v>7.4789256212222395E-8</v>
      </c>
      <c r="AK35" s="57" t="s">
        <v>12</v>
      </c>
      <c r="AM35" s="104"/>
      <c r="AN35" s="1" t="s">
        <v>43</v>
      </c>
      <c r="AO35" s="1" t="s">
        <v>43</v>
      </c>
      <c r="AP35" s="1" t="s">
        <v>43</v>
      </c>
      <c r="AQ35" s="1" t="s">
        <v>43</v>
      </c>
      <c r="AR35" s="1" t="s">
        <v>43</v>
      </c>
      <c r="AU35" t="s">
        <v>18</v>
      </c>
      <c r="AV35">
        <v>44574.51</v>
      </c>
      <c r="AW35" s="8">
        <v>1442260000</v>
      </c>
      <c r="AX35">
        <v>4511.93</v>
      </c>
      <c r="AY35" s="91">
        <f t="shared" si="171"/>
        <v>100525.522</v>
      </c>
      <c r="AZ35" s="91">
        <f t="shared" si="172"/>
        <v>486681.82303416857</v>
      </c>
      <c r="BA35" s="91">
        <f t="shared" si="173"/>
        <v>5.872073450341686E-7</v>
      </c>
      <c r="BB35" s="91">
        <f t="shared" si="174"/>
        <v>1.5991493332559614E-7</v>
      </c>
      <c r="BJ35" s="104"/>
      <c r="BK35" s="8">
        <f>MEDIAN(BK6:BK8,BK10:BK12,BK14:BK16,BK18:BK20,BK23:BK25,BK27:BK29)</f>
        <v>1677166.9336396973</v>
      </c>
      <c r="BL35" s="91">
        <f t="shared" ref="BL35:BO35" si="184">MEDIAN(BL6:BL8,BL10:BL12,BL14:BL16,BL18:BL20,BL23:BL25,BL27:BL29)</f>
        <v>5830794.5299066771</v>
      </c>
      <c r="BM35" s="91">
        <f t="shared" si="184"/>
        <v>7.507961463546374E-6</v>
      </c>
      <c r="BN35" s="91">
        <f t="shared" si="184"/>
        <v>1.5462528922048186E-6</v>
      </c>
      <c r="BO35" s="91">
        <f t="shared" si="184"/>
        <v>-5.9617085713415558E-6</v>
      </c>
      <c r="BQ35" t="s">
        <v>30</v>
      </c>
      <c r="BR35" s="53">
        <v>7.4789256212222395E-8</v>
      </c>
      <c r="BS35" s="57" t="s">
        <v>12</v>
      </c>
      <c r="BU35" s="104"/>
      <c r="BV35" s="1" t="s">
        <v>43</v>
      </c>
      <c r="BW35" s="1" t="s">
        <v>43</v>
      </c>
      <c r="BX35" s="1" t="s">
        <v>43</v>
      </c>
      <c r="BY35" s="1" t="s">
        <v>43</v>
      </c>
      <c r="BZ35" s="1" t="s">
        <v>43</v>
      </c>
      <c r="CC35" t="s">
        <v>18</v>
      </c>
      <c r="CD35">
        <v>44574.51</v>
      </c>
      <c r="CE35" s="8">
        <v>1442260000</v>
      </c>
      <c r="CF35">
        <v>4511.93</v>
      </c>
      <c r="CG35" s="91">
        <f t="shared" si="175"/>
        <v>100525.522</v>
      </c>
      <c r="CH35" s="91">
        <f t="shared" si="176"/>
        <v>486681.82303416857</v>
      </c>
      <c r="CI35" s="91">
        <f t="shared" si="177"/>
        <v>5.872073450341686E-7</v>
      </c>
      <c r="CJ35" s="91">
        <f t="shared" si="178"/>
        <v>1.7680037602008065E-7</v>
      </c>
      <c r="CR35" s="104"/>
      <c r="CS35" s="8">
        <f>MEDIAN(CS6,CS10,CS14,CS18,CS23,CS27)</f>
        <v>1677166.9336396973</v>
      </c>
      <c r="CT35" s="56">
        <f t="shared" ref="CT35:CW35" si="185">MEDIAN(CT6,CT10,CT14,CT18,CT23,CT27)</f>
        <v>69020.230619828959</v>
      </c>
      <c r="CU35" s="56">
        <f t="shared" si="185"/>
        <v>1.7461871642595264E-6</v>
      </c>
      <c r="CV35" s="56">
        <f t="shared" si="185"/>
        <v>2.1511507288072849E-6</v>
      </c>
      <c r="CW35" s="56">
        <f t="shared" si="185"/>
        <v>4.0496356454775874E-7</v>
      </c>
    </row>
    <row r="36" spans="1:101" ht="16" x14ac:dyDescent="0.4">
      <c r="A36" t="s">
        <v>37</v>
      </c>
      <c r="B36" s="31">
        <v>6.97E-5</v>
      </c>
      <c r="C36" s="57" t="s">
        <v>12</v>
      </c>
      <c r="E36" s="104"/>
      <c r="F36" s="8">
        <f>MAX(F8,F12,F16,F20,F24,F28)</f>
        <v>448084.36150599999</v>
      </c>
      <c r="G36" s="8">
        <f>MAX(G8,G12,G16,G20,G24,G28)</f>
        <v>732245.86169843422</v>
      </c>
      <c r="H36" s="8">
        <f>MAX(H8,H12,H16,H20,H24,H28)</f>
        <v>1.1803302232044344E-6</v>
      </c>
      <c r="I36" s="8">
        <f>MAX(I8,I12,I16,I20,I24,I28)</f>
        <v>1.5458103239629128E-7</v>
      </c>
      <c r="J36" s="8">
        <f>MAX(J8,J12,J16,J20,J24,J28)</f>
        <v>-6.5459743440115497E-7</v>
      </c>
      <c r="K36" s="8"/>
      <c r="M36" t="s">
        <v>16</v>
      </c>
      <c r="N36">
        <v>22860.73</v>
      </c>
      <c r="O36" s="8">
        <v>652254000</v>
      </c>
      <c r="P36">
        <v>4900.57</v>
      </c>
      <c r="Q36" s="8">
        <f t="shared" si="179"/>
        <v>45462.103799999997</v>
      </c>
      <c r="R36" s="8">
        <f t="shared" si="180"/>
        <v>239057.60396225707</v>
      </c>
      <c r="S36" s="8">
        <f t="shared" si="181"/>
        <v>2.8451970776225708E-7</v>
      </c>
      <c r="T36" s="8">
        <f t="shared" si="182"/>
        <v>7.5574081305250598E-8</v>
      </c>
      <c r="X36" t="s">
        <v>36</v>
      </c>
      <c r="Y36" t="s">
        <v>39</v>
      </c>
      <c r="Z36" t="s">
        <v>9</v>
      </c>
      <c r="AB36" s="104"/>
      <c r="AC36" s="1" t="s">
        <v>43</v>
      </c>
      <c r="AD36" s="1" t="s">
        <v>43</v>
      </c>
      <c r="AE36" s="1" t="s">
        <v>43</v>
      </c>
      <c r="AF36" s="1" t="s">
        <v>43</v>
      </c>
      <c r="AG36" s="1" t="s">
        <v>43</v>
      </c>
      <c r="AH36" s="28"/>
      <c r="AI36" t="s">
        <v>37</v>
      </c>
      <c r="AJ36" s="31">
        <v>6.97E-5</v>
      </c>
      <c r="AK36" s="57" t="s">
        <v>12</v>
      </c>
      <c r="AM36" s="104"/>
      <c r="AN36" s="8">
        <f>MAX(AN8,AN12,AN16,AN20,AN24,AN28)</f>
        <v>448084.36150599999</v>
      </c>
      <c r="AO36" s="8">
        <f>MAX(AO8,AO12,AO16,AO20,AO24,AO28)</f>
        <v>732245.86169843422</v>
      </c>
      <c r="AP36" s="8">
        <f>MAX(AP8,AP12,AP16,AP20,AP24,AP28)</f>
        <v>1.1803302232044344E-6</v>
      </c>
      <c r="AQ36" s="8">
        <f>MAX(AQ8,AQ12,AQ16,AQ20,AQ24,AQ28)</f>
        <v>1.3228708394743251E-7</v>
      </c>
      <c r="AR36" s="8">
        <f>MAX(AR8,AR12,AR16,AR20,AR24,AR28)</f>
        <v>-6.6877756315940343E-7</v>
      </c>
      <c r="AS36" s="8"/>
      <c r="AU36" t="s">
        <v>16</v>
      </c>
      <c r="AV36">
        <v>22860.73</v>
      </c>
      <c r="AW36" s="8">
        <v>652254000</v>
      </c>
      <c r="AX36">
        <v>4900.57</v>
      </c>
      <c r="AY36" s="91">
        <f t="shared" si="171"/>
        <v>45462.103799999997</v>
      </c>
      <c r="AZ36" s="91">
        <f t="shared" si="172"/>
        <v>239057.60396225707</v>
      </c>
      <c r="BA36" s="91">
        <f t="shared" si="173"/>
        <v>2.8451970776225708E-7</v>
      </c>
      <c r="BB36" s="91">
        <f t="shared" si="174"/>
        <v>7.2320632147708032E-8</v>
      </c>
      <c r="BF36" t="s">
        <v>36</v>
      </c>
      <c r="BG36" t="s">
        <v>39</v>
      </c>
      <c r="BH36" t="s">
        <v>9</v>
      </c>
      <c r="BJ36" s="104"/>
      <c r="BK36" s="1" t="s">
        <v>43</v>
      </c>
      <c r="BL36" s="1" t="s">
        <v>43</v>
      </c>
      <c r="BM36" s="1" t="s">
        <v>43</v>
      </c>
      <c r="BN36" s="1" t="s">
        <v>43</v>
      </c>
      <c r="BO36" s="1" t="s">
        <v>43</v>
      </c>
      <c r="BP36" s="28"/>
      <c r="BQ36" t="s">
        <v>37</v>
      </c>
      <c r="BR36" s="31">
        <v>6.97E-5</v>
      </c>
      <c r="BS36" s="57" t="s">
        <v>12</v>
      </c>
      <c r="BU36" s="104"/>
      <c r="BV36" s="8">
        <f>MAX(BV8,BV12,BV16,BV20,BV24,BV28)</f>
        <v>448084.36150599999</v>
      </c>
      <c r="BW36" s="8">
        <f>MAX(BW8,BW12,BW16,BW20,BW24,BW28)</f>
        <v>732245.86169843422</v>
      </c>
      <c r="BX36" s="8">
        <f>MAX(BX8,BX12,BX16,BX20,BX24,BX28)</f>
        <v>1.1803302232044344E-6</v>
      </c>
      <c r="BY36" s="8">
        <f>MAX(BY8,BY12,BY16,BY20,BY24,BY28)</f>
        <v>1.8974957190831347E-7</v>
      </c>
      <c r="BZ36" s="8">
        <f>MAX(BZ8,BZ12,BZ16,BZ20,BZ24,BZ28)</f>
        <v>-6.3222838570329856E-7</v>
      </c>
      <c r="CA36" s="8"/>
      <c r="CC36" t="s">
        <v>16</v>
      </c>
      <c r="CD36">
        <v>22860.73</v>
      </c>
      <c r="CE36" s="8">
        <v>652254000</v>
      </c>
      <c r="CF36">
        <v>4900.57</v>
      </c>
      <c r="CG36" s="91">
        <f t="shared" si="175"/>
        <v>45462.103799999997</v>
      </c>
      <c r="CH36" s="91">
        <f t="shared" si="176"/>
        <v>239057.60396225707</v>
      </c>
      <c r="CI36" s="91">
        <f t="shared" si="177"/>
        <v>2.8451970776225708E-7</v>
      </c>
      <c r="CJ36" s="91">
        <f t="shared" si="178"/>
        <v>7.9956978950121124E-8</v>
      </c>
      <c r="CN36" t="s">
        <v>36</v>
      </c>
      <c r="CO36" t="s">
        <v>39</v>
      </c>
      <c r="CP36" t="s">
        <v>9</v>
      </c>
      <c r="CR36" s="104"/>
      <c r="CS36" s="1" t="s">
        <v>43</v>
      </c>
      <c r="CT36" s="1" t="s">
        <v>43</v>
      </c>
      <c r="CU36" s="1" t="s">
        <v>43</v>
      </c>
      <c r="CV36" s="1" t="s">
        <v>43</v>
      </c>
      <c r="CW36" s="1" t="s">
        <v>43</v>
      </c>
    </row>
    <row r="37" spans="1:101" x14ac:dyDescent="0.35">
      <c r="A37" t="s">
        <v>38</v>
      </c>
      <c r="B37" s="38">
        <v>2.4045244341510523E-5</v>
      </c>
      <c r="C37" s="57" t="s">
        <v>12</v>
      </c>
      <c r="M37" s="1" t="s">
        <v>27</v>
      </c>
      <c r="Q37" s="8">
        <f>SUM(Q34:Q36)</f>
        <v>233854.93079999997</v>
      </c>
      <c r="R37" s="8">
        <f t="shared" ref="R37:T37" si="186">SUM(R34:R36)</f>
        <v>1670917.8340243213</v>
      </c>
      <c r="S37" s="8">
        <f t="shared" si="186"/>
        <v>1.9047727648243213E-6</v>
      </c>
      <c r="T37" s="8">
        <f t="shared" si="186"/>
        <v>3.8874953151448652E-7</v>
      </c>
      <c r="U37" s="8">
        <f>T37-S37</f>
        <v>-1.5160232333098348E-6</v>
      </c>
      <c r="V37" s="8"/>
      <c r="X37" t="s">
        <v>30</v>
      </c>
      <c r="Y37" s="49">
        <v>7.4789256212222395E-8</v>
      </c>
      <c r="Z37" s="57" t="s">
        <v>12</v>
      </c>
      <c r="AB37" s="104"/>
      <c r="AC37" s="8">
        <f>MAX(AC6,AC10,AC14,AC18,AC23,AC27)</f>
        <v>1932083.5674334357</v>
      </c>
      <c r="AD37" s="56">
        <f t="shared" ref="AD37:AG37" si="187">MAX(AD6,AD10,AD14,AD18,AD23,AD27)</f>
        <v>79510.781381578054</v>
      </c>
      <c r="AE37" s="56">
        <f t="shared" si="187"/>
        <v>2.0115943488150136E-6</v>
      </c>
      <c r="AF37" s="56">
        <f t="shared" si="187"/>
        <v>2.079191457202325E-6</v>
      </c>
      <c r="AG37" s="56">
        <f t="shared" si="187"/>
        <v>6.7597108387311415E-8</v>
      </c>
      <c r="AI37" t="s">
        <v>38</v>
      </c>
      <c r="AJ37" s="43">
        <v>2.0577396899428687E-5</v>
      </c>
      <c r="AK37" s="57" t="s">
        <v>12</v>
      </c>
      <c r="AU37" s="1" t="s">
        <v>27</v>
      </c>
      <c r="AY37" s="8">
        <f>SUM(AY34:AY36)</f>
        <v>233854.93079999997</v>
      </c>
      <c r="AZ37" s="8">
        <f t="shared" ref="AZ37:BB37" si="188">SUM(AZ34:AZ36)</f>
        <v>1670917.8340243213</v>
      </c>
      <c r="BA37" s="8">
        <f t="shared" si="188"/>
        <v>1.9047727648243213E-6</v>
      </c>
      <c r="BB37" s="8">
        <f t="shared" si="188"/>
        <v>3.7201394156146633E-7</v>
      </c>
      <c r="BC37" s="8">
        <f>BB37-BA37</f>
        <v>-1.5327588232628549E-6</v>
      </c>
      <c r="BD37" s="8"/>
      <c r="BF37" t="s">
        <v>30</v>
      </c>
      <c r="BG37" s="52">
        <v>7.4789256212222395E-8</v>
      </c>
      <c r="BH37" s="57" t="s">
        <v>12</v>
      </c>
      <c r="BJ37" s="104"/>
      <c r="BK37" s="8">
        <f>MAX(BK6:BK8,BK10:BK12,BK14:BK16,BK18:BK20,BK23:BK25,BK27:BK29)</f>
        <v>1932083.5674334357</v>
      </c>
      <c r="BL37" s="91">
        <f t="shared" ref="BL37:BO37" si="189">MAX(BL6:BL8,BL10:BL12,BL14:BL16,BL18:BL20,BL23:BL25,BL27:BL29)</f>
        <v>39587568.573512733</v>
      </c>
      <c r="BM37" s="91">
        <f t="shared" si="189"/>
        <v>4.1519652140946171E-5</v>
      </c>
      <c r="BN37" s="91">
        <f t="shared" si="189"/>
        <v>1.781271586151573E-6</v>
      </c>
      <c r="BO37" s="91">
        <f t="shared" si="189"/>
        <v>-1.293377396135269E-7</v>
      </c>
      <c r="BQ37" t="s">
        <v>38</v>
      </c>
      <c r="BR37" s="42">
        <v>2.9515748145190189E-5</v>
      </c>
      <c r="BS37" s="57" t="s">
        <v>12</v>
      </c>
      <c r="CC37" s="1" t="s">
        <v>27</v>
      </c>
      <c r="CG37" s="8">
        <f>SUM(CG34:CG36)</f>
        <v>233854.93079999997</v>
      </c>
      <c r="CH37" s="8">
        <f t="shared" ref="CH37:CJ37" si="190">SUM(CH34:CH36)</f>
        <v>1670917.8340243213</v>
      </c>
      <c r="CI37" s="8">
        <f t="shared" si="190"/>
        <v>1.9047727648243213E-6</v>
      </c>
      <c r="CJ37" s="8">
        <f t="shared" si="190"/>
        <v>4.1129495154066387E-7</v>
      </c>
      <c r="CK37" s="8">
        <f>CJ37-CI37</f>
        <v>-1.4934778132836574E-6</v>
      </c>
      <c r="CL37" s="8"/>
      <c r="CN37" t="s">
        <v>30</v>
      </c>
      <c r="CO37" s="56">
        <v>7.4789256212222395E-8</v>
      </c>
      <c r="CP37" s="57" t="s">
        <v>12</v>
      </c>
      <c r="CR37" s="104"/>
      <c r="CS37" s="8">
        <f>MAX(CS6,CS10,CS14,CS18,CS23,CS27)</f>
        <v>1932083.5674334357</v>
      </c>
      <c r="CT37" s="56">
        <f t="shared" ref="CT37:CW37" si="191">MAX(CT6,CT10,CT14,CT18,CT23,CT27)</f>
        <v>79510.781381578054</v>
      </c>
      <c r="CU37" s="56">
        <f t="shared" si="191"/>
        <v>2.0115943488150136E-6</v>
      </c>
      <c r="CV37" s="56">
        <f t="shared" si="191"/>
        <v>2.478109298984E-6</v>
      </c>
      <c r="CW37" s="56">
        <f t="shared" si="191"/>
        <v>4.6651495016898638E-7</v>
      </c>
    </row>
    <row r="38" spans="1:101" ht="16" x14ac:dyDescent="0.4">
      <c r="L38">
        <v>2019</v>
      </c>
      <c r="M38" t="s">
        <v>22</v>
      </c>
      <c r="N38">
        <v>100720.79</v>
      </c>
      <c r="O38" s="8">
        <v>2157170000</v>
      </c>
      <c r="X38" t="s">
        <v>37</v>
      </c>
      <c r="Y38" s="31">
        <v>6.97E-5</v>
      </c>
      <c r="Z38" s="57" t="s">
        <v>12</v>
      </c>
      <c r="AB38" s="29"/>
      <c r="AT38">
        <v>2019</v>
      </c>
      <c r="AU38" t="s">
        <v>22</v>
      </c>
      <c r="AV38">
        <v>100720.79</v>
      </c>
      <c r="AW38" s="8">
        <v>2157170000</v>
      </c>
      <c r="BF38" t="s">
        <v>37</v>
      </c>
      <c r="BG38" s="31">
        <v>6.97E-5</v>
      </c>
      <c r="BH38" s="57" t="s">
        <v>12</v>
      </c>
      <c r="BJ38" s="29"/>
      <c r="CB38">
        <v>2019</v>
      </c>
      <c r="CC38" t="s">
        <v>22</v>
      </c>
      <c r="CD38">
        <v>100720.79</v>
      </c>
      <c r="CE38" s="8">
        <v>2157170000</v>
      </c>
      <c r="CN38" t="s">
        <v>37</v>
      </c>
      <c r="CO38" s="31">
        <v>6.97E-5</v>
      </c>
      <c r="CP38" s="57" t="s">
        <v>12</v>
      </c>
      <c r="CR38" s="29"/>
    </row>
    <row r="39" spans="1:101" x14ac:dyDescent="0.35">
      <c r="M39" t="s">
        <v>17</v>
      </c>
      <c r="N39">
        <v>50042.92</v>
      </c>
      <c r="O39" s="8">
        <v>1036790000</v>
      </c>
      <c r="P39">
        <v>10024.9</v>
      </c>
      <c r="Q39" s="8">
        <f>O39*$M$49</f>
        <v>72264.263000000006</v>
      </c>
      <c r="R39" s="8">
        <f>O39*P39*$M$48</f>
        <v>777338.29423111246</v>
      </c>
      <c r="S39" s="8">
        <f>SUM(Q39:R39)*0.000000000001</f>
        <v>8.4960255723111246E-7</v>
      </c>
      <c r="T39" s="8">
        <f>O39*$M$50*0.000000000001</f>
        <v>1.2012874088387466E-7</v>
      </c>
      <c r="X39" t="s">
        <v>38</v>
      </c>
      <c r="Y39" s="44">
        <v>7.500692361848102E-5</v>
      </c>
      <c r="Z39" s="57" t="s">
        <v>12</v>
      </c>
      <c r="AU39" t="s">
        <v>17</v>
      </c>
      <c r="AV39">
        <v>50042.92</v>
      </c>
      <c r="AW39" s="8">
        <v>1036790000</v>
      </c>
      <c r="AX39">
        <v>10024.9</v>
      </c>
      <c r="AY39" s="91">
        <f t="shared" ref="AY39:AY42" si="192">AW39*AU$49</f>
        <v>72264.263000000006</v>
      </c>
      <c r="AZ39" s="91">
        <f t="shared" ref="AZ39:AZ42" si="193">AW39*AX39*AU$48</f>
        <v>777338.29423111246</v>
      </c>
      <c r="BA39" s="91">
        <f t="shared" ref="BA39:BA42" si="194">SUM(AY39:AZ39)*0.000000000001</f>
        <v>8.4960255723111246E-7</v>
      </c>
      <c r="BB39" s="91">
        <f t="shared" ref="BB39:BB42" si="195">AW39*AU$50*0.000000000001</f>
        <v>1.1495722249985774E-7</v>
      </c>
      <c r="BF39" t="s">
        <v>38</v>
      </c>
      <c r="BG39" s="45">
        <v>6.4259451116646394E-5</v>
      </c>
      <c r="BH39" s="57" t="s">
        <v>12</v>
      </c>
      <c r="CC39" t="s">
        <v>17</v>
      </c>
      <c r="CD39">
        <v>50042.92</v>
      </c>
      <c r="CE39" s="8">
        <v>1036790000</v>
      </c>
      <c r="CF39">
        <v>10024.9</v>
      </c>
      <c r="CG39" s="91">
        <f t="shared" ref="CG39:CG42" si="196">CE39*CC$49</f>
        <v>72264.263000000006</v>
      </c>
      <c r="CH39" s="91">
        <f t="shared" ref="CH39:CH42" si="197">CE39*CF39*CC$48</f>
        <v>777338.29423111246</v>
      </c>
      <c r="CI39" s="91">
        <f t="shared" ref="CI39:CI42" si="198">SUM(CG39:CH39)*0.000000000001</f>
        <v>8.4960255723111246E-7</v>
      </c>
      <c r="CJ39" s="91">
        <f t="shared" ref="CJ39:CJ42" si="199">CE39*CC$50*0.000000000001</f>
        <v>1.2709557351230668E-7</v>
      </c>
      <c r="CN39" t="s">
        <v>38</v>
      </c>
      <c r="CO39" s="46">
        <v>8.9397902373669193E-5</v>
      </c>
      <c r="CP39" s="57" t="s">
        <v>12</v>
      </c>
    </row>
    <row r="40" spans="1:101" x14ac:dyDescent="0.35">
      <c r="M40" t="s">
        <v>18</v>
      </c>
      <c r="N40">
        <v>21347.59</v>
      </c>
      <c r="O40" s="8">
        <v>616643000</v>
      </c>
      <c r="P40">
        <v>4511.93</v>
      </c>
      <c r="Q40" s="8">
        <f t="shared" ref="Q40:Q42" si="200">O40*$M$49</f>
        <v>42980.017099999997</v>
      </c>
      <c r="R40" s="8">
        <f t="shared" ref="R40:R42" si="201">O40*P40*$M$48</f>
        <v>208082.41190995995</v>
      </c>
      <c r="S40" s="8">
        <f t="shared" ref="S40:S42" si="202">SUM(Q40:R40)*0.000000000001</f>
        <v>2.5106242900995994E-7</v>
      </c>
      <c r="T40" s="8">
        <f t="shared" ref="T40:T42" si="203">O40*$M$50*0.000000000001</f>
        <v>7.1447976123279661E-8</v>
      </c>
      <c r="AB40" s="104" t="s">
        <v>49</v>
      </c>
      <c r="AC40" s="1" t="s">
        <v>52</v>
      </c>
      <c r="AD40" s="1" t="s">
        <v>51</v>
      </c>
      <c r="AE40" s="1" t="s">
        <v>53</v>
      </c>
      <c r="AF40" s="1" t="s">
        <v>53</v>
      </c>
      <c r="AG40" s="19" t="s">
        <v>54</v>
      </c>
      <c r="AU40" t="s">
        <v>18</v>
      </c>
      <c r="AV40">
        <v>21347.59</v>
      </c>
      <c r="AW40" s="8">
        <v>616643000</v>
      </c>
      <c r="AX40">
        <v>4511.93</v>
      </c>
      <c r="AY40" s="91">
        <f t="shared" si="192"/>
        <v>42980.017099999997</v>
      </c>
      <c r="AZ40" s="91">
        <f t="shared" si="193"/>
        <v>208082.41190995995</v>
      </c>
      <c r="BA40" s="91">
        <f t="shared" si="194"/>
        <v>2.5106242900995994E-7</v>
      </c>
      <c r="BB40" s="91">
        <f t="shared" si="195"/>
        <v>6.837215497254003E-8</v>
      </c>
      <c r="BJ40" s="29"/>
      <c r="BK40" s="1"/>
      <c r="BL40" s="1"/>
      <c r="BM40" s="1"/>
      <c r="BN40" s="1"/>
      <c r="BO40" s="19"/>
      <c r="CC40" t="s">
        <v>18</v>
      </c>
      <c r="CD40">
        <v>21347.59</v>
      </c>
      <c r="CE40" s="8">
        <v>616643000</v>
      </c>
      <c r="CF40">
        <v>4511.93</v>
      </c>
      <c r="CG40" s="91">
        <f t="shared" si="196"/>
        <v>42980.017099999997</v>
      </c>
      <c r="CH40" s="91">
        <f t="shared" si="197"/>
        <v>208082.41190995995</v>
      </c>
      <c r="CI40" s="91">
        <f t="shared" si="198"/>
        <v>2.5106242900995994E-7</v>
      </c>
      <c r="CJ40" s="91">
        <f t="shared" si="199"/>
        <v>7.5591581455597868E-8</v>
      </c>
      <c r="CR40" s="104" t="s">
        <v>49</v>
      </c>
      <c r="CS40" s="1" t="s">
        <v>52</v>
      </c>
      <c r="CT40" s="1" t="s">
        <v>51</v>
      </c>
      <c r="CU40" s="1" t="s">
        <v>53</v>
      </c>
      <c r="CV40" s="1" t="s">
        <v>53</v>
      </c>
      <c r="CW40" s="19" t="s">
        <v>54</v>
      </c>
    </row>
    <row r="41" spans="1:101" x14ac:dyDescent="0.35">
      <c r="M41" t="s">
        <v>23</v>
      </c>
      <c r="N41">
        <v>17963.939999999999</v>
      </c>
      <c r="O41" s="8">
        <v>448077000</v>
      </c>
      <c r="P41">
        <v>3493.52</v>
      </c>
      <c r="Q41" s="8">
        <f t="shared" si="200"/>
        <v>31230.966899999999</v>
      </c>
      <c r="R41" s="8">
        <f t="shared" si="201"/>
        <v>117072.5559261123</v>
      </c>
      <c r="S41" s="8">
        <f t="shared" si="202"/>
        <v>1.4830352282611228E-7</v>
      </c>
      <c r="T41" s="8">
        <f t="shared" si="203"/>
        <v>5.1916902968801685E-8</v>
      </c>
      <c r="AB41" s="104"/>
      <c r="AC41" s="1" t="s">
        <v>42</v>
      </c>
      <c r="AD41" s="1" t="s">
        <v>42</v>
      </c>
      <c r="AE41" s="1" t="s">
        <v>42</v>
      </c>
      <c r="AF41" s="1" t="s">
        <v>42</v>
      </c>
      <c r="AG41" s="1" t="s">
        <v>42</v>
      </c>
      <c r="AU41" t="s">
        <v>23</v>
      </c>
      <c r="AV41">
        <v>17963.939999999999</v>
      </c>
      <c r="AW41" s="8">
        <v>448077000</v>
      </c>
      <c r="AX41">
        <v>3493.52</v>
      </c>
      <c r="AY41" s="91">
        <f t="shared" si="192"/>
        <v>31230.966899999999</v>
      </c>
      <c r="AZ41" s="91">
        <f t="shared" si="193"/>
        <v>117072.5559261123</v>
      </c>
      <c r="BA41" s="91">
        <f t="shared" si="194"/>
        <v>1.4830352282611228E-7</v>
      </c>
      <c r="BB41" s="91">
        <f t="shared" si="195"/>
        <v>4.968189062979847E-8</v>
      </c>
      <c r="BJ41" s="29"/>
      <c r="BK41" s="1"/>
      <c r="BL41" s="1"/>
      <c r="BM41" s="1"/>
      <c r="BN41" s="1"/>
      <c r="BO41" s="1"/>
      <c r="CC41" t="s">
        <v>23</v>
      </c>
      <c r="CD41">
        <v>17963.939999999999</v>
      </c>
      <c r="CE41" s="8">
        <v>448077000</v>
      </c>
      <c r="CF41">
        <v>3493.52</v>
      </c>
      <c r="CG41" s="91">
        <f t="shared" si="196"/>
        <v>31230.966899999999</v>
      </c>
      <c r="CH41" s="91">
        <f t="shared" si="197"/>
        <v>117072.5559261123</v>
      </c>
      <c r="CI41" s="91">
        <f t="shared" si="198"/>
        <v>1.4830352282611228E-7</v>
      </c>
      <c r="CJ41" s="91">
        <f t="shared" si="199"/>
        <v>5.4927809192482403E-8</v>
      </c>
      <c r="CR41" s="104"/>
      <c r="CS41" s="1" t="s">
        <v>42</v>
      </c>
      <c r="CT41" s="1" t="s">
        <v>42</v>
      </c>
      <c r="CU41" s="1" t="s">
        <v>42</v>
      </c>
      <c r="CV41" s="1" t="s">
        <v>42</v>
      </c>
      <c r="CW41" s="1" t="s">
        <v>42</v>
      </c>
    </row>
    <row r="42" spans="1:101" x14ac:dyDescent="0.35">
      <c r="M42" t="s">
        <v>21</v>
      </c>
      <c r="N42">
        <v>1846.82</v>
      </c>
      <c r="O42" s="8">
        <v>26129000</v>
      </c>
      <c r="P42">
        <v>2839.27</v>
      </c>
      <c r="Q42" s="8">
        <f t="shared" si="200"/>
        <v>1821.1913</v>
      </c>
      <c r="R42" s="8">
        <f t="shared" si="201"/>
        <v>5548.4119276292458</v>
      </c>
      <c r="S42" s="8">
        <f t="shared" si="202"/>
        <v>7.3696032276292462E-9</v>
      </c>
      <c r="T42" s="8">
        <f t="shared" si="203"/>
        <v>3.0274634888017443E-9</v>
      </c>
      <c r="AB42" s="104"/>
      <c r="AC42" s="8">
        <f>MIN(AC7:AC8,AC11:AC12,AC15:AC16,AC19:AC20,AC24:AC25,AC28:AC29)</f>
        <v>1084961.4621957003</v>
      </c>
      <c r="AD42" s="56">
        <f t="shared" ref="AD42:AG42" si="204">MIN(AD7:AD8,AD11:AD12,AD15:AD16,AD19:AD20,AD24:AD25,AD28:AD29)</f>
        <v>3771948.5353801297</v>
      </c>
      <c r="AE42" s="56">
        <f t="shared" si="204"/>
        <v>4.8569099975758297E-6</v>
      </c>
      <c r="AF42" s="56">
        <f t="shared" si="204"/>
        <v>1.167569892739001E-6</v>
      </c>
      <c r="AG42" s="56">
        <f t="shared" si="204"/>
        <v>-3.9440460683743847E-5</v>
      </c>
      <c r="AU42" t="s">
        <v>21</v>
      </c>
      <c r="AV42">
        <v>1846.82</v>
      </c>
      <c r="AW42" s="8">
        <v>26129000</v>
      </c>
      <c r="AX42">
        <v>2839.27</v>
      </c>
      <c r="AY42" s="91">
        <f t="shared" si="192"/>
        <v>1821.1913</v>
      </c>
      <c r="AZ42" s="91">
        <f t="shared" si="193"/>
        <v>5548.4119276292458</v>
      </c>
      <c r="BA42" s="91">
        <f t="shared" si="194"/>
        <v>7.3696032276292462E-9</v>
      </c>
      <c r="BB42" s="91">
        <f t="shared" si="195"/>
        <v>2.8971317882105182E-9</v>
      </c>
      <c r="BJ42" s="29"/>
      <c r="BK42" s="91"/>
      <c r="BL42" s="91"/>
      <c r="BM42" s="91"/>
      <c r="BN42" s="91"/>
      <c r="BO42" s="91"/>
      <c r="CC42" t="s">
        <v>21</v>
      </c>
      <c r="CD42">
        <v>1846.82</v>
      </c>
      <c r="CE42" s="8">
        <v>26129000</v>
      </c>
      <c r="CF42">
        <v>2839.27</v>
      </c>
      <c r="CG42" s="91">
        <f t="shared" si="196"/>
        <v>1821.1913</v>
      </c>
      <c r="CH42" s="91">
        <f t="shared" si="197"/>
        <v>5548.4119276292458</v>
      </c>
      <c r="CI42" s="91">
        <f t="shared" si="198"/>
        <v>7.3696032276292462E-9</v>
      </c>
      <c r="CJ42" s="91">
        <f t="shared" si="199"/>
        <v>3.2030403845552722E-9</v>
      </c>
      <c r="CR42" s="104"/>
      <c r="CS42" s="8">
        <f>MIN(CS7:CS8,CS11:CS12,CS15:CS16,CS19:CS20,CS24:CS25,CS28:CS29)</f>
        <v>1084961.4621957003</v>
      </c>
      <c r="CT42" s="56">
        <f t="shared" ref="CT42:CW42" si="205">MIN(CT7:CT8,CT11:CT12,CT15:CT16,CT19:CT20,CT24:CT25,CT28:CT29)</f>
        <v>3771948.5353801297</v>
      </c>
      <c r="CU42" s="56">
        <f t="shared" si="205"/>
        <v>4.8569099975758297E-6</v>
      </c>
      <c r="CV42" s="56">
        <f t="shared" si="205"/>
        <v>1.3915821933509984E-6</v>
      </c>
      <c r="CW42" s="56">
        <f t="shared" si="205"/>
        <v>-3.9041542841962171E-5</v>
      </c>
    </row>
    <row r="43" spans="1:101" x14ac:dyDescent="0.35">
      <c r="M43" s="1" t="s">
        <v>27</v>
      </c>
      <c r="Q43" s="8">
        <f>SUM(Q39:Q42)</f>
        <v>148296.43830000001</v>
      </c>
      <c r="R43" s="8">
        <f t="shared" ref="R43:T43" si="206">SUM(R39:R42)</f>
        <v>1108041.673994814</v>
      </c>
      <c r="S43" s="8">
        <f t="shared" si="206"/>
        <v>1.256338112294814E-6</v>
      </c>
      <c r="T43" s="8">
        <f t="shared" si="206"/>
        <v>2.4652108346475779E-7</v>
      </c>
      <c r="U43" s="8">
        <f>T43-S43</f>
        <v>-1.0098170288300563E-6</v>
      </c>
      <c r="V43" s="8"/>
      <c r="AB43" s="104"/>
      <c r="AC43" s="1" t="s">
        <v>41</v>
      </c>
      <c r="AD43" s="1" t="s">
        <v>41</v>
      </c>
      <c r="AE43" s="1" t="s">
        <v>41</v>
      </c>
      <c r="AF43" s="1" t="s">
        <v>41</v>
      </c>
      <c r="AG43" s="1" t="s">
        <v>41</v>
      </c>
      <c r="AU43" s="1" t="s">
        <v>27</v>
      </c>
      <c r="AY43" s="8">
        <f>SUM(AY39:AY42)</f>
        <v>148296.43830000001</v>
      </c>
      <c r="AZ43" s="8">
        <f t="shared" ref="AZ43:BB43" si="207">SUM(AZ39:AZ42)</f>
        <v>1108041.673994814</v>
      </c>
      <c r="BA43" s="8">
        <f t="shared" si="207"/>
        <v>1.256338112294814E-6</v>
      </c>
      <c r="BB43" s="8">
        <f t="shared" si="207"/>
        <v>2.3590839989040674E-7</v>
      </c>
      <c r="BC43" s="8">
        <f>BB43-BA43</f>
        <v>-1.0204297124044072E-6</v>
      </c>
      <c r="BD43" s="8"/>
      <c r="BJ43" s="29"/>
      <c r="BK43" s="1"/>
      <c r="BL43" s="1"/>
      <c r="BM43" s="1"/>
      <c r="BN43" s="1"/>
      <c r="BO43" s="1"/>
      <c r="CC43" s="1" t="s">
        <v>27</v>
      </c>
      <c r="CG43" s="8">
        <f>SUM(CG39:CG42)</f>
        <v>148296.43830000001</v>
      </c>
      <c r="CH43" s="8">
        <f t="shared" ref="CH43:CJ43" si="208">SUM(CH39:CH42)</f>
        <v>1108041.673994814</v>
      </c>
      <c r="CI43" s="8">
        <f t="shared" si="208"/>
        <v>1.256338112294814E-6</v>
      </c>
      <c r="CJ43" s="8">
        <f t="shared" si="208"/>
        <v>2.6081800454494223E-7</v>
      </c>
      <c r="CK43" s="8">
        <f>CJ43-CI43</f>
        <v>-9.9552010774987173E-7</v>
      </c>
      <c r="CL43" s="8"/>
      <c r="CR43" s="104"/>
      <c r="CS43" s="1" t="s">
        <v>41</v>
      </c>
      <c r="CT43" s="1" t="s">
        <v>41</v>
      </c>
      <c r="CU43" s="1" t="s">
        <v>41</v>
      </c>
      <c r="CV43" s="1" t="s">
        <v>41</v>
      </c>
      <c r="CW43" s="1" t="s">
        <v>41</v>
      </c>
    </row>
    <row r="44" spans="1:101" x14ac:dyDescent="0.35">
      <c r="A44" s="90"/>
      <c r="B44" s="90"/>
      <c r="C44" s="91"/>
      <c r="E44" s="91"/>
      <c r="AB44" s="104"/>
      <c r="AC44" s="8">
        <f>MEDIAN(AC7:AC8,AC11:AC12,AC15:AC16,AC19:AC20,AC24:AC25,AC28:AC29)</f>
        <v>1677166.9336396973</v>
      </c>
      <c r="AD44" s="56">
        <f t="shared" ref="AD44:AG44" si="209">MEDIAN(AD7:AD8,AD11:AD12,AD15:AD16,AD19:AD20,AD24:AD25,AD28:AD29)</f>
        <v>14473714.40257157</v>
      </c>
      <c r="AE44" s="56">
        <f t="shared" si="209"/>
        <v>1.5982236917386138E-5</v>
      </c>
      <c r="AF44" s="56">
        <f t="shared" si="209"/>
        <v>1.8048655966564535E-6</v>
      </c>
      <c r="AG44" s="56">
        <f t="shared" si="209"/>
        <v>-1.4358856242415475E-5</v>
      </c>
      <c r="BJ44" s="29"/>
      <c r="BK44" s="91"/>
      <c r="BL44" s="91"/>
      <c r="BM44" s="91"/>
      <c r="BN44" s="91"/>
      <c r="BO44" s="91"/>
      <c r="CR44" s="104"/>
      <c r="CS44" s="8">
        <f>MEDIAN(CS7:CS8,CS11:CS12,CS15:CS16,CS19:CS20,CS24:CS25,CS28:CS29)</f>
        <v>1677166.9336396973</v>
      </c>
      <c r="CT44" s="56">
        <f t="shared" ref="CT44:CW44" si="210">MEDIAN(CT7:CT8,CT11:CT12,CT15:CT16,CT19:CT20,CT24:CT25,CT28:CT29)</f>
        <v>14473714.40257157</v>
      </c>
      <c r="CU44" s="56">
        <f t="shared" si="210"/>
        <v>1.5982236917386138E-5</v>
      </c>
      <c r="CV44" s="56">
        <f t="shared" si="210"/>
        <v>2.1511507288072849E-6</v>
      </c>
      <c r="CW44" s="56">
        <f t="shared" si="210"/>
        <v>-1.4047391171218639E-5</v>
      </c>
    </row>
    <row r="45" spans="1:101" x14ac:dyDescent="0.35">
      <c r="A45" s="90"/>
      <c r="B45" s="90"/>
      <c r="C45" s="106"/>
      <c r="D45" s="90"/>
      <c r="E45" s="106"/>
      <c r="Q45" s="1" t="s">
        <v>52</v>
      </c>
      <c r="R45" s="1" t="s">
        <v>51</v>
      </c>
      <c r="S45" s="1" t="s">
        <v>53</v>
      </c>
      <c r="T45" s="1" t="s">
        <v>53</v>
      </c>
      <c r="U45" s="19" t="s">
        <v>54</v>
      </c>
      <c r="V45" s="19"/>
      <c r="AB45" s="104"/>
      <c r="AC45" s="1" t="s">
        <v>43</v>
      </c>
      <c r="AD45" s="1" t="s">
        <v>43</v>
      </c>
      <c r="AE45" s="1" t="s">
        <v>43</v>
      </c>
      <c r="AF45" s="1" t="s">
        <v>43</v>
      </c>
      <c r="AG45" s="1" t="s">
        <v>43</v>
      </c>
      <c r="AK45" s="21"/>
      <c r="AY45" s="1" t="s">
        <v>52</v>
      </c>
      <c r="AZ45" s="1" t="s">
        <v>51</v>
      </c>
      <c r="BA45" s="1" t="s">
        <v>53</v>
      </c>
      <c r="BB45" s="1" t="s">
        <v>53</v>
      </c>
      <c r="BC45" s="19" t="s">
        <v>54</v>
      </c>
      <c r="BD45" s="19"/>
      <c r="BJ45" s="29"/>
      <c r="BK45" s="1"/>
      <c r="BL45" s="1"/>
      <c r="BM45" s="1"/>
      <c r="BN45" s="1"/>
      <c r="BO45" s="1"/>
      <c r="BS45" s="21"/>
      <c r="CG45" s="1" t="s">
        <v>52</v>
      </c>
      <c r="CH45" s="1" t="s">
        <v>51</v>
      </c>
      <c r="CI45" s="1" t="s">
        <v>53</v>
      </c>
      <c r="CJ45" s="1" t="s">
        <v>53</v>
      </c>
      <c r="CK45" s="19" t="s">
        <v>54</v>
      </c>
      <c r="CL45" s="19"/>
      <c r="CR45" s="104"/>
      <c r="CS45" s="1" t="s">
        <v>43</v>
      </c>
      <c r="CT45" s="1" t="s">
        <v>43</v>
      </c>
      <c r="CU45" s="1" t="s">
        <v>43</v>
      </c>
      <c r="CV45" s="1" t="s">
        <v>43</v>
      </c>
      <c r="CW45" s="1" t="s">
        <v>43</v>
      </c>
    </row>
    <row r="46" spans="1:101" ht="15" thickBot="1" x14ac:dyDescent="0.4">
      <c r="A46" s="90"/>
      <c r="B46" s="90"/>
      <c r="C46" s="13"/>
      <c r="D46" s="90"/>
      <c r="E46" s="13"/>
      <c r="Q46" s="1" t="s">
        <v>42</v>
      </c>
      <c r="R46" s="1" t="s">
        <v>42</v>
      </c>
      <c r="S46" s="1" t="s">
        <v>42</v>
      </c>
      <c r="T46" s="1" t="s">
        <v>42</v>
      </c>
      <c r="U46" s="1" t="s">
        <v>42</v>
      </c>
      <c r="V46" s="1"/>
      <c r="AB46" s="104"/>
      <c r="AC46" s="8">
        <f>MAX(AC7:AC8,AC11:AC12,AC15:AC16,AC19:AC20,AC24:AC25,AC28:AC29)</f>
        <v>1932083.5674334357</v>
      </c>
      <c r="AD46" s="56">
        <f t="shared" ref="AD46:AG46" si="211">MAX(AD7:AD8,AD11:AD12,AD15:AD16,AD19:AD20,AD24:AD25,AD28:AD29)</f>
        <v>39587568.573512733</v>
      </c>
      <c r="AE46" s="56">
        <f t="shared" si="211"/>
        <v>4.1519652140946171E-5</v>
      </c>
      <c r="AF46" s="56">
        <f t="shared" si="211"/>
        <v>2.079191457202325E-6</v>
      </c>
      <c r="AG46" s="56">
        <f t="shared" si="211"/>
        <v>-3.6893401048368289E-6</v>
      </c>
      <c r="AK46" s="22"/>
      <c r="AY46" s="1" t="s">
        <v>42</v>
      </c>
      <c r="AZ46" s="1" t="s">
        <v>42</v>
      </c>
      <c r="BA46" s="1" t="s">
        <v>42</v>
      </c>
      <c r="BB46" s="1" t="s">
        <v>42</v>
      </c>
      <c r="BC46" s="1" t="s">
        <v>42</v>
      </c>
      <c r="BD46" s="1"/>
      <c r="BJ46" s="29"/>
      <c r="BK46" s="91"/>
      <c r="BL46" s="91"/>
      <c r="BM46" s="91"/>
      <c r="BN46" s="91"/>
      <c r="BO46" s="91"/>
      <c r="BS46" s="22"/>
      <c r="CG46" s="1" t="s">
        <v>42</v>
      </c>
      <c r="CH46" s="1" t="s">
        <v>42</v>
      </c>
      <c r="CI46" s="1" t="s">
        <v>42</v>
      </c>
      <c r="CJ46" s="1" t="s">
        <v>42</v>
      </c>
      <c r="CK46" s="1" t="s">
        <v>42</v>
      </c>
      <c r="CL46" s="1"/>
      <c r="CR46" s="104"/>
      <c r="CS46" s="8">
        <f>MAX(CS7:CS8,CS11:CS12,CS15:CS16,CS19:CS20,CS24:CS25,CS28:CS29)</f>
        <v>1932083.5674334357</v>
      </c>
      <c r="CT46" s="56">
        <f t="shared" ref="CT46:CV46" si="212">MAX(CT7:CT8,CT11:CT12,CT15:CT16,CT19:CT20,CT24:CT25,CT28:CT29)</f>
        <v>39587568.573512733</v>
      </c>
      <c r="CU46" s="56">
        <f t="shared" si="212"/>
        <v>4.1519652140946171E-5</v>
      </c>
      <c r="CV46" s="56">
        <f t="shared" si="212"/>
        <v>2.478109298984E-6</v>
      </c>
      <c r="CW46" s="56">
        <f>MAX(CW7:CW8,CW11:CW12,CW15:CW16,CW19:CW20,CW24:CW25,CW28:CW29)</f>
        <v>-3.4653278042248315E-6</v>
      </c>
    </row>
    <row r="47" spans="1:101" ht="15" thickBot="1" x14ac:dyDescent="0.4">
      <c r="A47" s="90"/>
      <c r="B47" s="90"/>
      <c r="C47" s="15"/>
      <c r="D47" s="90"/>
      <c r="E47" s="15"/>
      <c r="L47" t="s">
        <v>36</v>
      </c>
      <c r="M47" t="s">
        <v>39</v>
      </c>
      <c r="N47" t="s">
        <v>9</v>
      </c>
      <c r="Q47" s="8">
        <f>MIN(Q11,Q19,Q26,Q32,Q37,Q43)</f>
        <v>148296.43830000001</v>
      </c>
      <c r="R47" s="8">
        <f t="shared" ref="R47:U47" si="213">MIN(R11,R19,R26,R32,R37,R43)</f>
        <v>1108041.673994814</v>
      </c>
      <c r="S47" s="8">
        <f t="shared" si="213"/>
        <v>1.256338112294814E-6</v>
      </c>
      <c r="T47" s="8">
        <f t="shared" si="213"/>
        <v>2.4652108346475779E-7</v>
      </c>
      <c r="U47" s="8">
        <f t="shared" si="213"/>
        <v>-3.0092841610094416E-6</v>
      </c>
      <c r="V47" s="8"/>
      <c r="AJ47" s="16"/>
      <c r="AK47" s="21"/>
      <c r="AT47" t="s">
        <v>36</v>
      </c>
      <c r="AU47" t="s">
        <v>39</v>
      </c>
      <c r="AV47" t="s">
        <v>9</v>
      </c>
      <c r="AY47" s="8">
        <f>MIN(AY11,AY19,AY26,AY32,AY37,AY43)</f>
        <v>148296.43830000001</v>
      </c>
      <c r="AZ47" s="8">
        <f t="shared" ref="AZ47:BC47" si="214">MIN(AZ11,AZ19,AZ26,AZ32,AZ37,AZ43)</f>
        <v>1108041.673994814</v>
      </c>
      <c r="BA47" s="8">
        <f t="shared" si="214"/>
        <v>1.256338112294814E-6</v>
      </c>
      <c r="BB47" s="8">
        <f t="shared" si="214"/>
        <v>2.3590839989040674E-7</v>
      </c>
      <c r="BC47" s="8">
        <f t="shared" si="214"/>
        <v>-3.0414564432859991E-6</v>
      </c>
      <c r="BD47" s="8"/>
      <c r="BR47" s="16"/>
      <c r="BS47" s="21"/>
      <c r="CB47" t="s">
        <v>36</v>
      </c>
      <c r="CC47" t="s">
        <v>39</v>
      </c>
      <c r="CD47" t="s">
        <v>9</v>
      </c>
      <c r="CG47" s="8">
        <f>MIN(CG11,CG19,CG26,CG32,CG37,CG43)</f>
        <v>148296.43830000001</v>
      </c>
      <c r="CH47" s="8">
        <f t="shared" ref="CH47:CK47" si="215">MIN(CH11,CH19,CH26,CH32,CH37,CH43)</f>
        <v>1108041.673994814</v>
      </c>
      <c r="CI47" s="8">
        <f t="shared" si="215"/>
        <v>1.256338112294814E-6</v>
      </c>
      <c r="CJ47" s="8">
        <f t="shared" si="215"/>
        <v>2.6081800454494223E-7</v>
      </c>
      <c r="CK47" s="8">
        <f t="shared" si="215"/>
        <v>-2.9659431363331749E-6</v>
      </c>
      <c r="CL47" s="8"/>
    </row>
    <row r="48" spans="1:101" ht="15" thickBot="1" x14ac:dyDescent="0.4">
      <c r="A48" s="90"/>
      <c r="B48" s="90"/>
      <c r="C48" s="13"/>
      <c r="D48" s="90"/>
      <c r="E48" s="13"/>
      <c r="L48" t="s">
        <v>30</v>
      </c>
      <c r="M48" s="48">
        <v>7.4789256212222395E-8</v>
      </c>
      <c r="N48" s="57" t="s">
        <v>12</v>
      </c>
      <c r="Q48" s="1" t="s">
        <v>41</v>
      </c>
      <c r="R48" s="1" t="s">
        <v>41</v>
      </c>
      <c r="S48" s="1" t="s">
        <v>41</v>
      </c>
      <c r="T48" s="1" t="s">
        <v>41</v>
      </c>
      <c r="U48" s="1" t="s">
        <v>41</v>
      </c>
      <c r="V48" s="1"/>
      <c r="AK48" s="21"/>
      <c r="AT48" t="s">
        <v>30</v>
      </c>
      <c r="AU48" s="51">
        <v>7.4789256212222395E-8</v>
      </c>
      <c r="AV48" s="57" t="s">
        <v>12</v>
      </c>
      <c r="AY48" s="1" t="s">
        <v>41</v>
      </c>
      <c r="AZ48" s="1" t="s">
        <v>41</v>
      </c>
      <c r="BA48" s="1" t="s">
        <v>41</v>
      </c>
      <c r="BB48" s="1" t="s">
        <v>41</v>
      </c>
      <c r="BC48" s="1" t="s">
        <v>41</v>
      </c>
      <c r="BD48" s="1"/>
      <c r="BS48" s="21"/>
      <c r="CB48" t="s">
        <v>30</v>
      </c>
      <c r="CC48" s="54">
        <v>7.4789256212222395E-8</v>
      </c>
      <c r="CD48" s="57" t="s">
        <v>12</v>
      </c>
      <c r="CG48" s="1" t="s">
        <v>41</v>
      </c>
      <c r="CH48" s="1" t="s">
        <v>41</v>
      </c>
      <c r="CI48" s="1" t="s">
        <v>41</v>
      </c>
      <c r="CJ48" s="1" t="s">
        <v>41</v>
      </c>
      <c r="CK48" s="1" t="s">
        <v>41</v>
      </c>
      <c r="CL48" s="1"/>
    </row>
    <row r="49" spans="1:90" ht="16.5" thickBot="1" x14ac:dyDescent="0.45">
      <c r="A49" s="90"/>
      <c r="B49" s="90"/>
      <c r="C49" s="14"/>
      <c r="D49" s="90"/>
      <c r="E49" s="14"/>
      <c r="L49" t="s">
        <v>37</v>
      </c>
      <c r="M49" s="31">
        <v>6.97E-5</v>
      </c>
      <c r="N49" s="57" t="s">
        <v>12</v>
      </c>
      <c r="Q49" s="8">
        <f>MEDIAN(Q11,Q19,Q26,Q32,Q37,Q43)</f>
        <v>251602.958935</v>
      </c>
      <c r="R49" s="8">
        <f t="shared" ref="R49:U49" si="216">MEDIAN(R11,R19,R26,R32,R37,R43)</f>
        <v>1886556.8652076074</v>
      </c>
      <c r="S49" s="8">
        <f t="shared" si="216"/>
        <v>2.1381598241426065E-6</v>
      </c>
      <c r="T49" s="8">
        <f t="shared" si="216"/>
        <v>4.1825302583545019E-7</v>
      </c>
      <c r="U49" s="8">
        <f t="shared" si="216"/>
        <v>-1.7199067983071567E-6</v>
      </c>
      <c r="V49" s="8"/>
      <c r="AK49" s="21"/>
      <c r="AT49" t="s">
        <v>37</v>
      </c>
      <c r="AU49" s="31">
        <v>6.97E-5</v>
      </c>
      <c r="AV49" s="57" t="s">
        <v>12</v>
      </c>
      <c r="AY49" s="8">
        <f>MEDIAN(AY11,AY19,AY26,AY32,AY37,AY43)</f>
        <v>251602.958935</v>
      </c>
      <c r="AZ49" s="8">
        <f t="shared" ref="AZ49:BC49" si="217">MEDIAN(AZ11,AZ19,AZ26,AZ32,AZ37,AZ43)</f>
        <v>1886556.8652076074</v>
      </c>
      <c r="BA49" s="8">
        <f t="shared" si="217"/>
        <v>2.1381598241426065E-6</v>
      </c>
      <c r="BB49" s="8">
        <f t="shared" si="217"/>
        <v>4.0024731632443776E-7</v>
      </c>
      <c r="BC49" s="8">
        <f t="shared" si="217"/>
        <v>-1.7379125078181691E-6</v>
      </c>
      <c r="BD49" s="8"/>
      <c r="BS49" s="21"/>
      <c r="CB49" t="s">
        <v>37</v>
      </c>
      <c r="CC49" s="31">
        <v>6.97E-5</v>
      </c>
      <c r="CD49" s="57" t="s">
        <v>12</v>
      </c>
      <c r="CG49" s="8">
        <f>MEDIAN(CG11,CG19,CG26,CG32,CG37,CG43)</f>
        <v>251602.958935</v>
      </c>
      <c r="CH49" s="8">
        <f t="shared" ref="CH49:CK49" si="218">MEDIAN(CH11,CH19,CH26,CH32,CH37,CH43)</f>
        <v>1886556.8652076074</v>
      </c>
      <c r="CI49" s="8">
        <f t="shared" si="218"/>
        <v>2.1381598241426065E-6</v>
      </c>
      <c r="CJ49" s="8">
        <f t="shared" si="218"/>
        <v>4.4250949273830094E-7</v>
      </c>
      <c r="CK49" s="8">
        <f t="shared" si="218"/>
        <v>-1.6956503314043058E-6</v>
      </c>
      <c r="CL49" s="8"/>
    </row>
    <row r="50" spans="1:90" x14ac:dyDescent="0.35">
      <c r="C50" s="21"/>
      <c r="L50" t="s">
        <v>38</v>
      </c>
      <c r="M50" s="39">
        <v>1.1586602965294288E-4</v>
      </c>
      <c r="N50" s="57" t="s">
        <v>12</v>
      </c>
      <c r="Q50" s="1" t="s">
        <v>43</v>
      </c>
      <c r="R50" s="1" t="s">
        <v>43</v>
      </c>
      <c r="S50" s="1" t="s">
        <v>43</v>
      </c>
      <c r="T50" s="1" t="s">
        <v>43</v>
      </c>
      <c r="U50" s="1" t="s">
        <v>43</v>
      </c>
      <c r="V50" s="1"/>
      <c r="AK50" s="21"/>
      <c r="AT50" t="s">
        <v>38</v>
      </c>
      <c r="AU50" s="40">
        <v>1.1087802013894592E-4</v>
      </c>
      <c r="AV50" s="57" t="s">
        <v>12</v>
      </c>
      <c r="AY50" s="1" t="s">
        <v>43</v>
      </c>
      <c r="AZ50" s="1" t="s">
        <v>43</v>
      </c>
      <c r="BA50" s="1" t="s">
        <v>43</v>
      </c>
      <c r="BB50" s="1" t="s">
        <v>43</v>
      </c>
      <c r="BC50" s="1" t="s">
        <v>43</v>
      </c>
      <c r="BD50" s="1"/>
      <c r="BS50" s="21"/>
      <c r="CB50" t="s">
        <v>38</v>
      </c>
      <c r="CC50" s="41">
        <v>1.2258564753933455E-4</v>
      </c>
      <c r="CD50" s="57" t="s">
        <v>12</v>
      </c>
      <c r="CG50" s="1" t="s">
        <v>43</v>
      </c>
      <c r="CH50" s="1" t="s">
        <v>43</v>
      </c>
      <c r="CI50" s="1" t="s">
        <v>43</v>
      </c>
      <c r="CJ50" s="1" t="s">
        <v>43</v>
      </c>
      <c r="CK50" s="1" t="s">
        <v>43</v>
      </c>
      <c r="CL50" s="1"/>
    </row>
    <row r="51" spans="1:90" x14ac:dyDescent="0.35">
      <c r="C51" s="21"/>
      <c r="Q51" s="8">
        <f>MAX(Q11,Q19,Q26,Q32,Q37,Q43)</f>
        <v>449559.70279999997</v>
      </c>
      <c r="R51" s="8">
        <f t="shared" ref="R51:U51" si="219">MAX(R11,R19,R26,R32,R37,R43)</f>
        <v>3307051.5436526695</v>
      </c>
      <c r="S51" s="8">
        <f t="shared" si="219"/>
        <v>3.7566112464526697E-6</v>
      </c>
      <c r="T51" s="8">
        <f t="shared" si="219"/>
        <v>7.4732708544322791E-7</v>
      </c>
      <c r="U51" s="8">
        <f t="shared" si="219"/>
        <v>-1.0098170288300563E-6</v>
      </c>
      <c r="V51" s="8"/>
      <c r="AK51" s="21"/>
      <c r="AY51" s="8">
        <f>MAX(AY11,AY19,AY26,AY32,AY37,AY43)</f>
        <v>449559.70279999997</v>
      </c>
      <c r="AZ51" s="8">
        <f t="shared" ref="AZ51:BC51" si="220">MAX(AZ11,AZ19,AZ26,AZ32,AZ37,AZ43)</f>
        <v>3307051.5436526695</v>
      </c>
      <c r="BA51" s="8">
        <f t="shared" si="220"/>
        <v>3.7566112464526697E-6</v>
      </c>
      <c r="BB51" s="8">
        <f t="shared" si="220"/>
        <v>7.1515480316667067E-7</v>
      </c>
      <c r="BC51" s="8">
        <f t="shared" si="220"/>
        <v>-1.0204297124044072E-6</v>
      </c>
      <c r="BD51" s="8"/>
      <c r="BS51" s="21"/>
      <c r="CG51" s="8">
        <f>MAX(CG11,CG19,CG26,CG32,CG37,CG43)</f>
        <v>449559.70279999997</v>
      </c>
      <c r="CH51" s="8">
        <f t="shared" ref="CH51:CK51" si="221">MAX(CH11,CH19,CH26,CH32,CH37,CH43)</f>
        <v>3307051.5436526695</v>
      </c>
      <c r="CI51" s="8">
        <f t="shared" si="221"/>
        <v>3.7566112464526697E-6</v>
      </c>
      <c r="CJ51" s="8">
        <f t="shared" si="221"/>
        <v>7.9066811011949491E-7</v>
      </c>
      <c r="CK51" s="8">
        <f t="shared" si="221"/>
        <v>-9.9552010774987173E-7</v>
      </c>
      <c r="CL51" s="8"/>
    </row>
    <row r="52" spans="1:90" x14ac:dyDescent="0.35">
      <c r="C52" s="22"/>
      <c r="AK52" s="22"/>
      <c r="BS52" s="22"/>
    </row>
    <row r="53" spans="1:90" x14ac:dyDescent="0.35">
      <c r="B53" s="90"/>
      <c r="C53" s="91"/>
      <c r="E53" s="91"/>
      <c r="AK53" s="22"/>
      <c r="BS53" s="22"/>
    </row>
    <row r="54" spans="1:90" x14ac:dyDescent="0.35">
      <c r="B54" s="90"/>
      <c r="C54" s="91"/>
      <c r="D54" s="90"/>
      <c r="E54" s="91"/>
    </row>
    <row r="55" spans="1:90" x14ac:dyDescent="0.35">
      <c r="B55" s="90"/>
      <c r="C55" s="91"/>
      <c r="D55" s="90"/>
      <c r="E55" s="91"/>
    </row>
    <row r="56" spans="1:90" x14ac:dyDescent="0.35">
      <c r="B56" s="90"/>
      <c r="C56" s="91"/>
      <c r="D56" s="90"/>
      <c r="E56" s="91"/>
    </row>
    <row r="57" spans="1:90" x14ac:dyDescent="0.35">
      <c r="B57" s="90"/>
      <c r="C57" s="91"/>
      <c r="D57" s="90"/>
      <c r="E57" s="91"/>
    </row>
    <row r="58" spans="1:90" x14ac:dyDescent="0.35">
      <c r="B58" s="90"/>
      <c r="C58" s="91"/>
      <c r="D58" s="90"/>
      <c r="E58" s="91"/>
    </row>
  </sheetData>
  <mergeCells count="19">
    <mergeCell ref="AB40:AB46"/>
    <mergeCell ref="CR40:CR46"/>
    <mergeCell ref="BQ2:BZ2"/>
    <mergeCell ref="CB2:CK2"/>
    <mergeCell ref="CN2:CW2"/>
    <mergeCell ref="CR31:CR37"/>
    <mergeCell ref="E30:E36"/>
    <mergeCell ref="AM30:AM36"/>
    <mergeCell ref="BU30:BU36"/>
    <mergeCell ref="AB31:AB37"/>
    <mergeCell ref="BJ31:BJ37"/>
    <mergeCell ref="A1:AG1"/>
    <mergeCell ref="AI1:BI1"/>
    <mergeCell ref="A2:J2"/>
    <mergeCell ref="L2:U2"/>
    <mergeCell ref="X2:AG2"/>
    <mergeCell ref="AI2:AR2"/>
    <mergeCell ref="AT2:BC2"/>
    <mergeCell ref="BF2:BO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F209-C37C-4CA5-A959-C836DAF9F905}">
  <dimension ref="A1:CW57"/>
  <sheetViews>
    <sheetView tabSelected="1" topLeftCell="BF1" zoomScale="74" workbookViewId="0">
      <selection activeCell="BX5" sqref="BX5"/>
    </sheetView>
  </sheetViews>
  <sheetFormatPr defaultRowHeight="14.5" x14ac:dyDescent="0.35"/>
  <cols>
    <col min="1" max="1" width="24.54296875" customWidth="1"/>
    <col min="2" max="2" width="12.54296875" customWidth="1"/>
    <col min="3" max="3" width="20.08984375" bestFit="1" customWidth="1"/>
    <col min="4" max="4" width="13.6328125" bestFit="1" customWidth="1"/>
    <col min="5" max="5" width="21.453125" bestFit="1" customWidth="1"/>
    <col min="6" max="6" width="22" customWidth="1"/>
    <col min="7" max="7" width="23" customWidth="1"/>
    <col min="8" max="9" width="19.54296875" customWidth="1"/>
    <col min="10" max="10" width="16.26953125" customWidth="1"/>
    <col min="11" max="11" width="8.81640625" customWidth="1"/>
    <col min="12" max="12" width="8.7265625" customWidth="1"/>
    <col min="13" max="13" width="11.6328125" customWidth="1"/>
    <col min="14" max="15" width="16.1796875" customWidth="1"/>
    <col min="16" max="16" width="20.81640625" customWidth="1"/>
    <col min="17" max="17" width="15.6328125" customWidth="1"/>
    <col min="18" max="18" width="16.90625" customWidth="1"/>
    <col min="19" max="19" width="18.7265625" customWidth="1"/>
    <col min="20" max="20" width="18.90625" customWidth="1"/>
    <col min="21" max="21" width="16.453125" customWidth="1"/>
    <col min="22" max="22" width="5.90625" customWidth="1"/>
    <col min="23" max="23" width="8.08984375" customWidth="1"/>
    <col min="26" max="26" width="16" customWidth="1"/>
    <col min="27" max="27" width="14.7265625" customWidth="1"/>
    <col min="28" max="28" width="21.26953125" customWidth="1"/>
    <col min="29" max="29" width="22.36328125" customWidth="1"/>
    <col min="30" max="30" width="22.6328125" customWidth="1"/>
    <col min="31" max="32" width="19.453125" customWidth="1"/>
    <col min="33" max="33" width="16.54296875" customWidth="1"/>
    <col min="34" max="34" width="16.54296875" style="9" customWidth="1"/>
    <col min="37" max="37" width="9.90625" customWidth="1"/>
    <col min="38" max="38" width="11" customWidth="1"/>
    <col min="40" max="40" width="11.1796875" customWidth="1"/>
    <col min="41" max="41" width="11.90625" customWidth="1"/>
    <col min="42" max="42" width="11.7265625" customWidth="1"/>
    <col min="43" max="43" width="10.453125" customWidth="1"/>
    <col min="44" max="44" width="10.08984375" customWidth="1"/>
    <col min="49" max="49" width="11.1796875" customWidth="1"/>
    <col min="50" max="50" width="8.90625" customWidth="1"/>
    <col min="51" max="52" width="11.36328125" customWidth="1"/>
    <col min="53" max="53" width="11.54296875" customWidth="1"/>
    <col min="54" max="54" width="11.36328125" customWidth="1"/>
    <col min="55" max="55" width="11" customWidth="1"/>
    <col min="58" max="58" width="8.81640625" bestFit="1" customWidth="1"/>
    <col min="59" max="59" width="9.1796875" bestFit="1" customWidth="1"/>
    <col min="60" max="60" width="12.90625" customWidth="1"/>
    <col min="61" max="61" width="11.36328125" customWidth="1"/>
    <col min="62" max="62" width="8.81640625" bestFit="1" customWidth="1"/>
    <col min="63" max="63" width="11.1796875" customWidth="1"/>
    <col min="64" max="64" width="11" customWidth="1"/>
    <col min="65" max="65" width="11.36328125" customWidth="1"/>
    <col min="66" max="66" width="10.6328125" customWidth="1"/>
    <col min="67" max="67" width="10.453125" customWidth="1"/>
    <col min="68" max="68" width="8.7265625" style="9"/>
    <col min="69" max="69" width="8.81640625" bestFit="1" customWidth="1"/>
    <col min="70" max="70" width="9.1796875" bestFit="1" customWidth="1"/>
    <col min="71" max="71" width="11" bestFit="1" customWidth="1"/>
    <col min="72" max="72" width="11" customWidth="1"/>
    <col min="73" max="73" width="8.81640625" bestFit="1" customWidth="1"/>
    <col min="74" max="74" width="10.26953125" customWidth="1"/>
    <col min="75" max="75" width="10.81640625" customWidth="1"/>
    <col min="76" max="76" width="11.36328125" customWidth="1"/>
    <col min="77" max="77" width="10.6328125" customWidth="1"/>
    <col min="78" max="78" width="10.81640625" customWidth="1"/>
    <col min="83" max="83" width="10.08984375" customWidth="1"/>
    <col min="85" max="85" width="10.6328125" customWidth="1"/>
    <col min="86" max="87" width="11" customWidth="1"/>
    <col min="88" max="88" width="11.36328125" customWidth="1"/>
  </cols>
  <sheetData>
    <row r="1" spans="1:101" ht="26" x14ac:dyDescent="0.6">
      <c r="A1" s="102" t="s">
        <v>33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I1" s="102" t="s">
        <v>35</v>
      </c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L1" s="25"/>
      <c r="BM1" s="25"/>
      <c r="BN1" s="25"/>
      <c r="BO1" s="25"/>
      <c r="BP1" s="30"/>
      <c r="BQ1" s="25"/>
      <c r="BR1" s="25"/>
      <c r="BS1" s="25"/>
      <c r="BT1" s="25"/>
      <c r="BU1" s="25"/>
      <c r="BV1" s="25" t="s">
        <v>34</v>
      </c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</row>
    <row r="2" spans="1:101" ht="18.5" x14ac:dyDescent="0.45">
      <c r="A2" s="103" t="s">
        <v>14</v>
      </c>
      <c r="B2" s="103"/>
      <c r="C2" s="103"/>
      <c r="D2" s="103"/>
      <c r="E2" s="103"/>
      <c r="F2" s="103"/>
      <c r="G2" s="103"/>
      <c r="H2" s="103"/>
      <c r="I2" s="103"/>
      <c r="J2" s="103"/>
      <c r="K2" s="11"/>
      <c r="L2" s="103" t="s">
        <v>15</v>
      </c>
      <c r="M2" s="103"/>
      <c r="N2" s="103"/>
      <c r="O2" s="103"/>
      <c r="P2" s="103"/>
      <c r="Q2" s="103"/>
      <c r="R2" s="103"/>
      <c r="S2" s="103"/>
      <c r="T2" s="103"/>
      <c r="U2" s="103"/>
      <c r="V2" s="20"/>
      <c r="W2" s="20"/>
      <c r="X2" s="103" t="s">
        <v>1</v>
      </c>
      <c r="Y2" s="103"/>
      <c r="Z2" s="103"/>
      <c r="AA2" s="103"/>
      <c r="AB2" s="103"/>
      <c r="AC2" s="103"/>
      <c r="AD2" s="103"/>
      <c r="AE2" s="103"/>
      <c r="AF2" s="103"/>
      <c r="AG2" s="103"/>
      <c r="AH2" s="26"/>
      <c r="AI2" s="103" t="s">
        <v>14</v>
      </c>
      <c r="AJ2" s="103"/>
      <c r="AK2" s="103"/>
      <c r="AL2" s="103"/>
      <c r="AM2" s="103"/>
      <c r="AN2" s="103"/>
      <c r="AO2" s="103"/>
      <c r="AP2" s="103"/>
      <c r="AQ2" s="103"/>
      <c r="AR2" s="103"/>
      <c r="AS2" s="11"/>
      <c r="AT2" s="103" t="s">
        <v>15</v>
      </c>
      <c r="AU2" s="103"/>
      <c r="AV2" s="103"/>
      <c r="AW2" s="103"/>
      <c r="AX2" s="103"/>
      <c r="AY2" s="103"/>
      <c r="AZ2" s="103"/>
      <c r="BA2" s="103"/>
      <c r="BB2" s="103"/>
      <c r="BC2" s="103"/>
      <c r="BD2" s="20"/>
      <c r="BE2" s="20"/>
      <c r="BF2" s="103" t="s">
        <v>1</v>
      </c>
      <c r="BG2" s="103"/>
      <c r="BH2" s="103"/>
      <c r="BI2" s="103"/>
      <c r="BJ2" s="103"/>
      <c r="BK2" s="103"/>
      <c r="BL2" s="103"/>
      <c r="BM2" s="103"/>
      <c r="BN2" s="103"/>
      <c r="BO2" s="103"/>
      <c r="BP2" s="26"/>
      <c r="BQ2" s="103" t="s">
        <v>14</v>
      </c>
      <c r="BR2" s="103"/>
      <c r="BS2" s="103"/>
      <c r="BT2" s="103"/>
      <c r="BU2" s="103"/>
      <c r="BV2" s="103"/>
      <c r="BW2" s="103"/>
      <c r="BX2" s="103"/>
      <c r="BY2" s="103"/>
      <c r="BZ2" s="103"/>
      <c r="CA2" s="11"/>
      <c r="CB2" s="103" t="s">
        <v>15</v>
      </c>
      <c r="CC2" s="103"/>
      <c r="CD2" s="103"/>
      <c r="CE2" s="103"/>
      <c r="CF2" s="103"/>
      <c r="CG2" s="103"/>
      <c r="CH2" s="103"/>
      <c r="CI2" s="103"/>
      <c r="CJ2" s="103"/>
      <c r="CK2" s="103"/>
      <c r="CL2" s="20"/>
      <c r="CM2" s="20"/>
      <c r="CN2" s="103" t="s">
        <v>1</v>
      </c>
      <c r="CO2" s="103"/>
      <c r="CP2" s="103"/>
      <c r="CQ2" s="103"/>
      <c r="CR2" s="103"/>
      <c r="CS2" s="103"/>
      <c r="CT2" s="103"/>
      <c r="CU2" s="103"/>
      <c r="CV2" s="103"/>
      <c r="CW2" s="103"/>
    </row>
    <row r="3" spans="1:101" x14ac:dyDescent="0.35">
      <c r="A3" s="18"/>
      <c r="B3" s="18"/>
      <c r="C3" s="18"/>
      <c r="D3" s="18"/>
      <c r="E3" s="18"/>
      <c r="F3" t="s">
        <v>32</v>
      </c>
      <c r="G3" t="s">
        <v>32</v>
      </c>
      <c r="H3" t="s">
        <v>32</v>
      </c>
      <c r="I3" t="s">
        <v>31</v>
      </c>
      <c r="L3" s="18"/>
      <c r="M3" s="18"/>
      <c r="N3" s="18"/>
      <c r="O3" s="18"/>
      <c r="P3" s="18"/>
      <c r="Q3" t="s">
        <v>32</v>
      </c>
      <c r="R3" t="s">
        <v>32</v>
      </c>
      <c r="S3" t="s">
        <v>32</v>
      </c>
      <c r="T3" t="s">
        <v>31</v>
      </c>
      <c r="AC3" t="s">
        <v>32</v>
      </c>
      <c r="AD3" t="s">
        <v>32</v>
      </c>
      <c r="AE3" t="s">
        <v>32</v>
      </c>
      <c r="AF3" t="s">
        <v>31</v>
      </c>
      <c r="AI3" s="18"/>
      <c r="AJ3" s="18"/>
      <c r="AK3" s="18"/>
      <c r="AL3" s="18"/>
      <c r="AM3" s="18"/>
      <c r="AN3" t="s">
        <v>32</v>
      </c>
      <c r="AO3" t="s">
        <v>32</v>
      </c>
      <c r="AP3" t="s">
        <v>32</v>
      </c>
      <c r="AQ3" t="s">
        <v>31</v>
      </c>
      <c r="AT3" s="18"/>
      <c r="AU3" s="18"/>
      <c r="AV3" s="18"/>
      <c r="AW3" s="18"/>
      <c r="AX3" s="18"/>
      <c r="AY3" t="s">
        <v>32</v>
      </c>
      <c r="AZ3" t="s">
        <v>32</v>
      </c>
      <c r="BA3" t="s">
        <v>32</v>
      </c>
      <c r="BB3" t="s">
        <v>31</v>
      </c>
      <c r="BK3" t="s">
        <v>32</v>
      </c>
      <c r="BL3" t="s">
        <v>32</v>
      </c>
      <c r="BM3" t="s">
        <v>32</v>
      </c>
      <c r="BN3" t="s">
        <v>31</v>
      </c>
      <c r="BQ3" s="18"/>
      <c r="BR3" s="18"/>
      <c r="BS3" s="18"/>
      <c r="BT3" s="18"/>
      <c r="BU3" s="18"/>
      <c r="BV3" t="s">
        <v>32</v>
      </c>
      <c r="BW3" t="s">
        <v>32</v>
      </c>
      <c r="BX3" t="s">
        <v>32</v>
      </c>
      <c r="BY3" t="s">
        <v>31</v>
      </c>
      <c r="CB3" s="18"/>
      <c r="CC3" s="18"/>
      <c r="CD3" s="18"/>
      <c r="CE3" s="18"/>
      <c r="CF3" s="18"/>
      <c r="CG3" t="s">
        <v>32</v>
      </c>
      <c r="CH3" t="s">
        <v>32</v>
      </c>
      <c r="CI3" t="s">
        <v>32</v>
      </c>
      <c r="CJ3" t="s">
        <v>31</v>
      </c>
      <c r="CS3" t="s">
        <v>32</v>
      </c>
      <c r="CT3" t="s">
        <v>32</v>
      </c>
      <c r="CU3" t="s">
        <v>32</v>
      </c>
      <c r="CV3" t="s">
        <v>31</v>
      </c>
    </row>
    <row r="4" spans="1:101" ht="16.5" x14ac:dyDescent="0.45">
      <c r="A4" s="1" t="s">
        <v>2</v>
      </c>
      <c r="B4" s="1" t="s">
        <v>0</v>
      </c>
      <c r="C4" s="1" t="s">
        <v>28</v>
      </c>
      <c r="D4" s="1" t="s">
        <v>29</v>
      </c>
      <c r="E4" s="1" t="s">
        <v>8</v>
      </c>
      <c r="F4" s="1" t="s">
        <v>44</v>
      </c>
      <c r="G4" s="1" t="s">
        <v>45</v>
      </c>
      <c r="H4" s="1" t="s">
        <v>40</v>
      </c>
      <c r="I4" s="1" t="s">
        <v>40</v>
      </c>
      <c r="J4" s="19" t="s">
        <v>46</v>
      </c>
      <c r="K4" s="19"/>
      <c r="L4" s="1" t="s">
        <v>2</v>
      </c>
      <c r="M4" s="1" t="s">
        <v>0</v>
      </c>
      <c r="N4" s="1" t="s">
        <v>28</v>
      </c>
      <c r="O4" s="1" t="s">
        <v>29</v>
      </c>
      <c r="P4" s="1" t="s">
        <v>8</v>
      </c>
      <c r="Q4" s="1" t="s">
        <v>44</v>
      </c>
      <c r="R4" s="1" t="s">
        <v>45</v>
      </c>
      <c r="S4" s="1" t="s">
        <v>40</v>
      </c>
      <c r="T4" s="1" t="s">
        <v>40</v>
      </c>
      <c r="U4" s="19" t="s">
        <v>46</v>
      </c>
      <c r="V4" s="19"/>
      <c r="W4" s="19"/>
      <c r="X4" s="1" t="s">
        <v>2</v>
      </c>
      <c r="Y4" s="1" t="s">
        <v>0</v>
      </c>
      <c r="Z4" s="1" t="s">
        <v>6</v>
      </c>
      <c r="AA4" s="1" t="s">
        <v>29</v>
      </c>
      <c r="AB4" s="1" t="s">
        <v>8</v>
      </c>
      <c r="AC4" s="1" t="s">
        <v>44</v>
      </c>
      <c r="AD4" s="1" t="s">
        <v>45</v>
      </c>
      <c r="AE4" s="1" t="s">
        <v>40</v>
      </c>
      <c r="AF4" s="1" t="s">
        <v>40</v>
      </c>
      <c r="AG4" s="19" t="s">
        <v>46</v>
      </c>
      <c r="AH4" s="27"/>
      <c r="AI4" s="1" t="s">
        <v>2</v>
      </c>
      <c r="AJ4" s="1" t="s">
        <v>0</v>
      </c>
      <c r="AK4" s="1" t="s">
        <v>28</v>
      </c>
      <c r="AL4" s="1" t="s">
        <v>29</v>
      </c>
      <c r="AM4" s="1" t="s">
        <v>8</v>
      </c>
      <c r="AN4" s="1" t="s">
        <v>44</v>
      </c>
      <c r="AO4" s="1" t="s">
        <v>45</v>
      </c>
      <c r="AP4" s="1" t="s">
        <v>40</v>
      </c>
      <c r="AQ4" s="1" t="s">
        <v>40</v>
      </c>
      <c r="AR4" s="19" t="s">
        <v>46</v>
      </c>
      <c r="AS4" s="19"/>
      <c r="AT4" s="1" t="s">
        <v>2</v>
      </c>
      <c r="AU4" s="1" t="s">
        <v>0</v>
      </c>
      <c r="AV4" s="1" t="s">
        <v>28</v>
      </c>
      <c r="AW4" s="1" t="s">
        <v>29</v>
      </c>
      <c r="AX4" s="1" t="s">
        <v>8</v>
      </c>
      <c r="AY4" s="1" t="s">
        <v>44</v>
      </c>
      <c r="AZ4" s="1" t="s">
        <v>45</v>
      </c>
      <c r="BA4" s="1" t="s">
        <v>40</v>
      </c>
      <c r="BB4" s="1" t="s">
        <v>40</v>
      </c>
      <c r="BC4" s="19" t="s">
        <v>46</v>
      </c>
      <c r="BD4" s="19"/>
      <c r="BE4" s="19"/>
      <c r="BF4" s="1" t="s">
        <v>2</v>
      </c>
      <c r="BG4" s="1" t="s">
        <v>0</v>
      </c>
      <c r="BH4" s="1" t="s">
        <v>6</v>
      </c>
      <c r="BI4" s="1" t="s">
        <v>29</v>
      </c>
      <c r="BJ4" s="1" t="s">
        <v>8</v>
      </c>
      <c r="BK4" s="1" t="s">
        <v>44</v>
      </c>
      <c r="BL4" s="1" t="s">
        <v>45</v>
      </c>
      <c r="BM4" s="1" t="s">
        <v>40</v>
      </c>
      <c r="BN4" s="1" t="s">
        <v>40</v>
      </c>
      <c r="BO4" s="19" t="s">
        <v>46</v>
      </c>
      <c r="BP4" s="27"/>
      <c r="BQ4" s="1" t="s">
        <v>2</v>
      </c>
      <c r="BR4" s="1" t="s">
        <v>0</v>
      </c>
      <c r="BS4" s="1" t="s">
        <v>28</v>
      </c>
      <c r="BT4" s="1" t="s">
        <v>29</v>
      </c>
      <c r="BU4" s="1" t="s">
        <v>8</v>
      </c>
      <c r="BV4" s="1" t="s">
        <v>44</v>
      </c>
      <c r="BW4" s="1" t="s">
        <v>45</v>
      </c>
      <c r="BX4" s="1" t="s">
        <v>40</v>
      </c>
      <c r="BY4" s="1" t="s">
        <v>40</v>
      </c>
      <c r="BZ4" s="19" t="s">
        <v>46</v>
      </c>
      <c r="CA4" s="19"/>
      <c r="CB4" s="1" t="s">
        <v>2</v>
      </c>
      <c r="CC4" s="1" t="s">
        <v>0</v>
      </c>
      <c r="CD4" s="1" t="s">
        <v>28</v>
      </c>
      <c r="CE4" s="1" t="s">
        <v>29</v>
      </c>
      <c r="CF4" s="1" t="s">
        <v>8</v>
      </c>
      <c r="CG4" s="1" t="s">
        <v>44</v>
      </c>
      <c r="CH4" s="1" t="s">
        <v>45</v>
      </c>
      <c r="CI4" s="1" t="s">
        <v>40</v>
      </c>
      <c r="CJ4" s="1" t="s">
        <v>40</v>
      </c>
      <c r="CK4" s="19" t="s">
        <v>46</v>
      </c>
      <c r="CL4" s="19"/>
      <c r="CM4" s="19"/>
      <c r="CN4" s="1" t="s">
        <v>2</v>
      </c>
      <c r="CO4" s="1" t="s">
        <v>0</v>
      </c>
      <c r="CP4" s="1" t="s">
        <v>6</v>
      </c>
      <c r="CQ4" s="1" t="s">
        <v>29</v>
      </c>
      <c r="CR4" s="1" t="s">
        <v>8</v>
      </c>
      <c r="CS4" s="1" t="s">
        <v>44</v>
      </c>
      <c r="CT4" s="1" t="s">
        <v>45</v>
      </c>
      <c r="CU4" s="1" t="s">
        <v>40</v>
      </c>
      <c r="CV4" s="1" t="s">
        <v>40</v>
      </c>
      <c r="CW4" s="19" t="s">
        <v>46</v>
      </c>
    </row>
    <row r="5" spans="1:101" x14ac:dyDescent="0.35">
      <c r="A5">
        <v>2024</v>
      </c>
      <c r="B5" t="s">
        <v>3</v>
      </c>
      <c r="C5">
        <f>280252.16</f>
        <v>280252.15999999997</v>
      </c>
      <c r="D5" s="8">
        <v>6435150000</v>
      </c>
      <c r="L5">
        <v>2024</v>
      </c>
      <c r="M5" t="s">
        <v>3</v>
      </c>
      <c r="N5">
        <v>269291.34999999998</v>
      </c>
      <c r="O5">
        <v>5700361652.1890001</v>
      </c>
      <c r="X5">
        <v>2024</v>
      </c>
      <c r="Y5" t="s">
        <v>24</v>
      </c>
      <c r="Z5">
        <v>1693315.6099999994</v>
      </c>
      <c r="AA5" s="8">
        <v>27701673233.189003</v>
      </c>
      <c r="AI5">
        <v>2024</v>
      </c>
      <c r="AJ5" t="s">
        <v>3</v>
      </c>
      <c r="AK5">
        <f>280252.16</f>
        <v>280252.15999999997</v>
      </c>
      <c r="AL5" s="8">
        <v>6435150000</v>
      </c>
      <c r="AT5">
        <v>2024</v>
      </c>
      <c r="AU5" t="s">
        <v>3</v>
      </c>
      <c r="AV5">
        <v>269291.34999999998</v>
      </c>
      <c r="AW5">
        <v>5700361652.1890001</v>
      </c>
      <c r="BF5">
        <v>2024</v>
      </c>
      <c r="BG5" t="s">
        <v>24</v>
      </c>
      <c r="BH5">
        <v>1693315.6099999994</v>
      </c>
      <c r="BI5" s="8">
        <v>27701673233.189003</v>
      </c>
      <c r="BQ5">
        <v>2024</v>
      </c>
      <c r="BR5" t="s">
        <v>3</v>
      </c>
      <c r="BS5">
        <f>280252.16</f>
        <v>280252.15999999997</v>
      </c>
      <c r="BT5" s="8">
        <v>6435150000</v>
      </c>
      <c r="CB5">
        <v>2024</v>
      </c>
      <c r="CC5" t="s">
        <v>3</v>
      </c>
      <c r="CD5">
        <v>269291.34999999998</v>
      </c>
      <c r="CE5">
        <v>5700361652.1890001</v>
      </c>
      <c r="CN5">
        <v>2024</v>
      </c>
      <c r="CO5" t="s">
        <v>24</v>
      </c>
      <c r="CP5">
        <v>1693315.6099999994</v>
      </c>
      <c r="CQ5" s="8">
        <v>27701673233.189003</v>
      </c>
    </row>
    <row r="6" spans="1:101" x14ac:dyDescent="0.35">
      <c r="B6" t="s">
        <v>4</v>
      </c>
      <c r="C6">
        <f>276267.53</f>
        <v>276267.53000000003</v>
      </c>
      <c r="D6" s="8">
        <v>6422130000</v>
      </c>
      <c r="E6">
        <v>1519.17</v>
      </c>
      <c r="F6" s="8">
        <f>D6*$B$36</f>
        <v>279491097.60000002</v>
      </c>
      <c r="G6" s="8">
        <f>D6*E6*$B$35</f>
        <v>99885148.668213531</v>
      </c>
      <c r="H6" s="8">
        <f>SUM(F6:G6)*0.000000000001</f>
        <v>3.7937624626821357E-4</v>
      </c>
      <c r="I6" s="8">
        <f>D6*$B$37*0.000000000001</f>
        <v>2.0000814253125774E-4</v>
      </c>
      <c r="J6" s="8"/>
      <c r="K6" s="8"/>
      <c r="M6" t="s">
        <v>16</v>
      </c>
      <c r="N6" s="12">
        <v>96758.74</v>
      </c>
      <c r="O6" s="8">
        <v>2659900000</v>
      </c>
      <c r="P6">
        <v>4900.57</v>
      </c>
      <c r="Q6" s="8">
        <f>O6*$M$49</f>
        <v>115758848.00000001</v>
      </c>
      <c r="R6" s="8">
        <f>O6*P6*$M$48</f>
        <v>133452698.15855876</v>
      </c>
      <c r="S6" s="8">
        <f>SUM(Q6:R6)*0.000000000001</f>
        <v>2.492115461585588E-4</v>
      </c>
      <c r="T6" s="8">
        <f>O6*$M$50*0.000000000001</f>
        <v>2.5846661931440347E-4</v>
      </c>
      <c r="W6" t="s">
        <v>42</v>
      </c>
      <c r="Y6" t="s">
        <v>1</v>
      </c>
      <c r="Z6">
        <f>Z5-(N5+C5)</f>
        <v>1143772.0999999994</v>
      </c>
      <c r="AA6" s="8">
        <f>AA5-(O5+D5)</f>
        <v>15566161581.000004</v>
      </c>
      <c r="AB6" s="2">
        <v>38.352499999999999</v>
      </c>
      <c r="AC6" s="8">
        <f>AA6*$Y$38</f>
        <v>677439352.00512016</v>
      </c>
      <c r="AD6" s="8">
        <f>AA6*AB6*$Y$37</f>
        <v>6112103.0119932434</v>
      </c>
      <c r="AE6" s="8">
        <f>SUM(AC6:AD6)*0.000000000001</f>
        <v>6.8355145501711341E-4</v>
      </c>
      <c r="AF6" s="8">
        <f>AA6*$Y$39*0.000000000001</f>
        <v>1.2529069663811078E-3</v>
      </c>
      <c r="AG6" s="8">
        <f>AF6-AE6</f>
        <v>5.6935551136399435E-4</v>
      </c>
      <c r="AH6" s="10"/>
      <c r="AJ6" t="s">
        <v>4</v>
      </c>
      <c r="AK6">
        <f>276267.53</f>
        <v>276267.53000000003</v>
      </c>
      <c r="AL6" s="8">
        <v>6422130000</v>
      </c>
      <c r="AM6">
        <v>1519.17</v>
      </c>
      <c r="AN6" s="8">
        <f>AL6*AJ$36</f>
        <v>279491097.60000002</v>
      </c>
      <c r="AO6" s="8">
        <f>AL6*AM6*AJ$35</f>
        <v>99885148.668213531</v>
      </c>
      <c r="AP6" s="8">
        <f>SUM(AN6:AO6)*0.000000000001</f>
        <v>3.7937624626821357E-4</v>
      </c>
      <c r="AQ6" s="8">
        <f>AL6*AJ$37*0.000000000001</f>
        <v>1.8104734118105987E-4</v>
      </c>
      <c r="AR6" s="8"/>
      <c r="AS6" s="8"/>
      <c r="AU6" t="s">
        <v>16</v>
      </c>
      <c r="AV6" s="12">
        <v>96758.74</v>
      </c>
      <c r="AW6" s="8">
        <v>2659900000</v>
      </c>
      <c r="AX6">
        <v>4900.57</v>
      </c>
      <c r="AY6" s="8">
        <f>AW6*AU$49</f>
        <v>115758848.00000001</v>
      </c>
      <c r="AZ6" s="8">
        <f>AW6*AX6*AU$48</f>
        <v>133452698.15855876</v>
      </c>
      <c r="BA6" s="8">
        <f>SUM(AY6:AZ6)*0.000000000001</f>
        <v>2.492115461585588E-4</v>
      </c>
      <c r="BB6" s="8">
        <f>AW6*AU$50*0.000000000001</f>
        <v>2.5195760694768062E-4</v>
      </c>
      <c r="BE6" t="s">
        <v>42</v>
      </c>
      <c r="BG6" t="s">
        <v>1</v>
      </c>
      <c r="BH6">
        <f>BH5-(AV5+AK5)</f>
        <v>1143772.0999999994</v>
      </c>
      <c r="BI6" s="8">
        <f>BI5-(AW5+AL5)</f>
        <v>15566161581.000004</v>
      </c>
      <c r="BJ6" s="2">
        <v>38.352499999999999</v>
      </c>
      <c r="BK6" s="8">
        <f>BI6*BG$38</f>
        <v>677439352.00512016</v>
      </c>
      <c r="BL6" s="8">
        <f>BI6*BJ6*BG$37</f>
        <v>6112103.0119932434</v>
      </c>
      <c r="BM6" s="8">
        <f>SUM(BK6:BL6)*0.000000000001</f>
        <v>6.8355145501711341E-4</v>
      </c>
      <c r="BN6" s="8">
        <f>BI6*BG$39*0.000000000001</f>
        <v>1.0802637589291024E-3</v>
      </c>
      <c r="BO6" s="8">
        <f>BN6-BM6</f>
        <v>3.9671230391198902E-4</v>
      </c>
      <c r="BP6" s="10"/>
      <c r="BR6" t="s">
        <v>4</v>
      </c>
      <c r="BS6">
        <f>276267.53</f>
        <v>276267.53000000003</v>
      </c>
      <c r="BT6" s="8">
        <v>6422130000</v>
      </c>
      <c r="BU6">
        <v>1519.17</v>
      </c>
      <c r="BV6" s="91">
        <f>BT6*BR$36</f>
        <v>279491097.60000002</v>
      </c>
      <c r="BW6" s="91">
        <f>BT6*BU6*BR$35</f>
        <v>99885148.668213531</v>
      </c>
      <c r="BX6" s="91">
        <f>SUM(BV6:BW6)*0.000000000001</f>
        <v>3.7937624626821357E-4</v>
      </c>
      <c r="BY6" s="91">
        <f>BT6*BR$37*0.000000000001</f>
        <v>2.5831736449515242E-4</v>
      </c>
      <c r="BZ6" s="8"/>
      <c r="CA6" s="8"/>
      <c r="CC6" t="s">
        <v>16</v>
      </c>
      <c r="CD6" s="12">
        <v>96758.74</v>
      </c>
      <c r="CE6" s="8">
        <v>2659900000</v>
      </c>
      <c r="CF6">
        <v>4900.57</v>
      </c>
      <c r="CG6" s="8">
        <f>CE6*$M$49</f>
        <v>115758848.00000001</v>
      </c>
      <c r="CH6" s="8">
        <f>CE6*CF6*$M$48</f>
        <v>133452698.15855876</v>
      </c>
      <c r="CI6" s="8">
        <f>SUM(CG6:CH6)*0.000000000001</f>
        <v>2.492115461585588E-4</v>
      </c>
      <c r="CJ6" s="8">
        <f>CE6*$M$50*0.000000000001</f>
        <v>2.5846661931440347E-4</v>
      </c>
      <c r="CM6" t="s">
        <v>42</v>
      </c>
      <c r="CO6" t="s">
        <v>1</v>
      </c>
      <c r="CP6">
        <f>CP5-(CD5+BS5)</f>
        <v>1143772.0999999994</v>
      </c>
      <c r="CQ6" s="8">
        <f>CQ5-(CE5+BT5)</f>
        <v>15566161581.000004</v>
      </c>
      <c r="CR6" s="2">
        <v>38.352499999999999</v>
      </c>
      <c r="CS6" s="91">
        <f>CQ6*CO$38</f>
        <v>677439352.00512016</v>
      </c>
      <c r="CT6" s="91">
        <f>CQ6*CR6*CO$37</f>
        <v>6112103.0119932434</v>
      </c>
      <c r="CU6" s="91">
        <f>SUM(CS6:CT6)*0.000000000001</f>
        <v>6.8355145501711341E-4</v>
      </c>
      <c r="CV6" s="91">
        <f>CQ6*CO$39*0.000000000001</f>
        <v>1.4831019387973171E-3</v>
      </c>
      <c r="CW6" s="8">
        <f>CV6-CU6</f>
        <v>7.9955048378020372E-4</v>
      </c>
    </row>
    <row r="7" spans="1:101" x14ac:dyDescent="0.35">
      <c r="B7" t="s">
        <v>5</v>
      </c>
      <c r="C7">
        <f>2060.63</f>
        <v>2060.63</v>
      </c>
      <c r="D7" s="8">
        <v>6626980</v>
      </c>
      <c r="E7" s="2">
        <v>5203.3100000000004</v>
      </c>
      <c r="F7" s="8">
        <f>D7*$B$36</f>
        <v>288406.16960000002</v>
      </c>
      <c r="G7" s="8">
        <f>D7*E7*$B$35</f>
        <v>353029.34996343165</v>
      </c>
      <c r="H7" s="8">
        <f>SUM(F7:G7)*0.000000000001</f>
        <v>6.414355195634316E-7</v>
      </c>
      <c r="I7" s="8">
        <f>D7*$B$37*0.000000000001</f>
        <v>2.0638790563127725E-7</v>
      </c>
      <c r="J7" s="8"/>
      <c r="K7" s="8"/>
      <c r="M7" t="s">
        <v>17</v>
      </c>
      <c r="N7" s="12">
        <v>69050.75</v>
      </c>
      <c r="O7" s="8">
        <v>1289010000</v>
      </c>
      <c r="P7">
        <v>10024.9</v>
      </c>
      <c r="Q7" s="8">
        <f t="shared" ref="Q7:Q10" si="0">O7*$M$49</f>
        <v>56097715.200000003</v>
      </c>
      <c r="R7" s="8">
        <f t="shared" ref="R7:R10" si="1">O7*P7*$M$48</f>
        <v>132297545.85761301</v>
      </c>
      <c r="S7" s="8">
        <f t="shared" ref="S7:S10" si="2">SUM(Q7:R7)*0.000000000001</f>
        <v>1.88395261057613E-4</v>
      </c>
      <c r="T7" s="8">
        <f t="shared" ref="T7:T10" si="3">O7*$M$50*0.000000000001</f>
        <v>1.2525510619288666E-4</v>
      </c>
      <c r="W7" t="s">
        <v>47</v>
      </c>
      <c r="Y7" t="s">
        <v>1</v>
      </c>
      <c r="Z7">
        <v>1143772.0999999994</v>
      </c>
      <c r="AA7" s="8">
        <v>15566161581.000004</v>
      </c>
      <c r="AB7" s="2">
        <v>3240</v>
      </c>
      <c r="AC7" s="8">
        <f t="shared" ref="AC7:AC8" si="4">AA7*$Y$38</f>
        <v>677439352.00512016</v>
      </c>
      <c r="AD7" s="8">
        <f t="shared" ref="AD7:AD8" si="5">AA7*AB7*$Y$37</f>
        <v>516347402.61672932</v>
      </c>
      <c r="AE7" s="8">
        <f t="shared" ref="AE7:AE8" si="6">SUM(AC7:AD7)*0.000000000001</f>
        <v>1.1937867546218494E-3</v>
      </c>
      <c r="AF7" s="8">
        <f t="shared" ref="AF7:AF8" si="7">AA7*$Y$39*0.000000000001</f>
        <v>1.2529069663811078E-3</v>
      </c>
      <c r="AG7" s="8">
        <f t="shared" ref="AG7:AG8" si="8">AF7-AE7</f>
        <v>5.9120211759258311E-5</v>
      </c>
      <c r="AH7" s="10"/>
      <c r="AJ7" t="s">
        <v>5</v>
      </c>
      <c r="AK7">
        <f>2060.63</f>
        <v>2060.63</v>
      </c>
      <c r="AL7" s="8">
        <v>6626980</v>
      </c>
      <c r="AM7" s="2">
        <v>5203.3100000000004</v>
      </c>
      <c r="AN7" s="91">
        <f>AL7*AJ$36</f>
        <v>288406.16960000002</v>
      </c>
      <c r="AO7" s="91">
        <f>AL7*AM7*AJ$35</f>
        <v>353029.34996343165</v>
      </c>
      <c r="AP7" s="8">
        <f>SUM(AN7:AO7)*0.000000000001</f>
        <v>6.414355195634316E-7</v>
      </c>
      <c r="AQ7" s="91">
        <f>AL7*AJ$37*0.000000000001</f>
        <v>1.868223018001909E-7</v>
      </c>
      <c r="AR7" s="8"/>
      <c r="AS7" s="8"/>
      <c r="AU7" t="s">
        <v>17</v>
      </c>
      <c r="AV7" s="12">
        <v>69050.75</v>
      </c>
      <c r="AW7" s="8">
        <v>1289010000</v>
      </c>
      <c r="AX7">
        <v>10024.9</v>
      </c>
      <c r="AY7" s="91">
        <f t="shared" ref="AY7:AY10" si="9">AW7*AU$49</f>
        <v>56097715.200000003</v>
      </c>
      <c r="AZ7" s="91">
        <f t="shared" ref="AZ7:AZ10" si="10">AW7*AX7*AU$48</f>
        <v>132297545.85761301</v>
      </c>
      <c r="BA7" s="8">
        <f t="shared" ref="BA7:BA10" si="11">SUM(AY7:AZ7)*0.000000000001</f>
        <v>1.88395261057613E-4</v>
      </c>
      <c r="BB7" s="91">
        <f t="shared" ref="BB7:BB10" si="12">AW7*AU$50*0.000000000001</f>
        <v>1.2210078383835098E-4</v>
      </c>
      <c r="BE7" t="s">
        <v>47</v>
      </c>
      <c r="BG7" t="s">
        <v>1</v>
      </c>
      <c r="BH7">
        <v>1143772.0999999994</v>
      </c>
      <c r="BI7" s="8">
        <v>15566161581.000004</v>
      </c>
      <c r="BJ7" s="2">
        <v>3240</v>
      </c>
      <c r="BK7" s="91">
        <f t="shared" ref="BK7:BK8" si="13">BI7*BG$38</f>
        <v>677439352.00512016</v>
      </c>
      <c r="BL7" s="91">
        <f t="shared" ref="BL7:BL8" si="14">BI7*BJ7*BG$37</f>
        <v>516347402.61672932</v>
      </c>
      <c r="BM7" s="8">
        <f t="shared" ref="BM7:BM8" si="15">SUM(BK7:BL7)*0.000000000001</f>
        <v>1.1937867546218494E-3</v>
      </c>
      <c r="BN7" s="91">
        <f t="shared" ref="BN7:BN8" si="16">BI7*BG$39*0.000000000001</f>
        <v>1.0802637589291024E-3</v>
      </c>
      <c r="BO7" s="8">
        <f t="shared" ref="BO7:BO8" si="17">BN7-BM7</f>
        <v>-1.1352299569274702E-4</v>
      </c>
      <c r="BP7" s="10"/>
      <c r="BR7" t="s">
        <v>5</v>
      </c>
      <c r="BS7">
        <f>2060.63</f>
        <v>2060.63</v>
      </c>
      <c r="BT7" s="8">
        <v>6626980</v>
      </c>
      <c r="BU7" s="2">
        <v>5203.3100000000004</v>
      </c>
      <c r="BV7" s="91">
        <f>BT7*BR$36</f>
        <v>288406.16960000002</v>
      </c>
      <c r="BW7" s="91">
        <f>BT7*BU7*BR$35</f>
        <v>353029.34996343165</v>
      </c>
      <c r="BX7" s="91">
        <f>SUM(BV7:BW7)*0.000000000001</f>
        <v>6.414355195634316E-7</v>
      </c>
      <c r="BY7" s="91">
        <f>BT7*BR$37*0.000000000001</f>
        <v>2.6655704698629359E-7</v>
      </c>
      <c r="BZ7" s="8"/>
      <c r="CA7" s="8"/>
      <c r="CC7" t="s">
        <v>17</v>
      </c>
      <c r="CD7" s="12">
        <v>69050.75</v>
      </c>
      <c r="CE7" s="8">
        <v>1289010000</v>
      </c>
      <c r="CF7">
        <v>10024.9</v>
      </c>
      <c r="CG7" s="8">
        <f t="shared" ref="CG7:CG10" si="18">CE7*$M$49</f>
        <v>56097715.200000003</v>
      </c>
      <c r="CH7" s="8">
        <f t="shared" ref="CH7:CH10" si="19">CE7*CF7*$M$48</f>
        <v>132297545.85761301</v>
      </c>
      <c r="CI7" s="8">
        <f t="shared" ref="CI7:CI10" si="20">SUM(CG7:CH7)*0.000000000001</f>
        <v>1.88395261057613E-4</v>
      </c>
      <c r="CJ7" s="8">
        <f t="shared" ref="CJ7:CJ10" si="21">CE7*$M$50*0.000000000001</f>
        <v>1.2525510619288666E-4</v>
      </c>
      <c r="CM7" t="s">
        <v>47</v>
      </c>
      <c r="CO7" t="s">
        <v>1</v>
      </c>
      <c r="CP7">
        <v>1143772.0999999994</v>
      </c>
      <c r="CQ7" s="8">
        <v>15566161581.000004</v>
      </c>
      <c r="CR7" s="2">
        <v>3240</v>
      </c>
      <c r="CS7" s="91">
        <f t="shared" ref="CS7:CS8" si="22">CQ7*CO$38</f>
        <v>677439352.00512016</v>
      </c>
      <c r="CT7" s="91">
        <f t="shared" ref="CT7:CT8" si="23">CQ7*CR7*CO$37</f>
        <v>516347402.61672932</v>
      </c>
      <c r="CU7" s="91">
        <f t="shared" ref="CU7:CU8" si="24">SUM(CS7:CT7)*0.000000000001</f>
        <v>1.1937867546218494E-3</v>
      </c>
      <c r="CV7" s="91">
        <f t="shared" ref="CV7:CV8" si="25">CQ7*CO$39*0.000000000001</f>
        <v>1.4831019387973171E-3</v>
      </c>
      <c r="CW7" s="8">
        <f t="shared" ref="CW7:CW8" si="26">CV7-CU7</f>
        <v>2.8931518417546769E-4</v>
      </c>
    </row>
    <row r="8" spans="1:101" x14ac:dyDescent="0.35">
      <c r="B8" s="1" t="s">
        <v>27</v>
      </c>
      <c r="D8" s="8"/>
      <c r="F8" s="8">
        <f t="shared" ref="F8:G8" si="27">SUM(F6:F7)</f>
        <v>279779503.76960003</v>
      </c>
      <c r="G8" s="8">
        <f t="shared" si="27"/>
        <v>100238178.01817696</v>
      </c>
      <c r="H8" s="8">
        <f>SUM(H6:H7)</f>
        <v>3.8001768178777702E-4</v>
      </c>
      <c r="I8" s="8">
        <f>SUM(I6:I7)</f>
        <v>2.0021453043688901E-4</v>
      </c>
      <c r="J8" s="8">
        <f>I8-H8</f>
        <v>-1.7980315135088801E-4</v>
      </c>
      <c r="K8" s="8"/>
      <c r="M8" t="s">
        <v>18</v>
      </c>
      <c r="N8" s="12">
        <v>53664.02</v>
      </c>
      <c r="O8" s="8">
        <v>1443590000</v>
      </c>
      <c r="P8">
        <v>4511.93</v>
      </c>
      <c r="Q8" s="8">
        <f t="shared" si="0"/>
        <v>62825036.800000004</v>
      </c>
      <c r="R8" s="8">
        <f t="shared" si="1"/>
        <v>66684004.241202034</v>
      </c>
      <c r="S8" s="8">
        <f t="shared" si="2"/>
        <v>1.2950904104120205E-4</v>
      </c>
      <c r="T8" s="8">
        <f t="shared" si="3"/>
        <v>1.402758851746606E-4</v>
      </c>
      <c r="W8" t="s">
        <v>43</v>
      </c>
      <c r="Y8" t="s">
        <v>1</v>
      </c>
      <c r="Z8">
        <v>1143772.0999999994</v>
      </c>
      <c r="AA8">
        <v>15566161581.000004</v>
      </c>
      <c r="AB8">
        <v>19095.3</v>
      </c>
      <c r="AC8" s="8">
        <f t="shared" si="4"/>
        <v>677439352.00512016</v>
      </c>
      <c r="AD8" s="8">
        <f t="shared" si="5"/>
        <v>3043150789.2553182</v>
      </c>
      <c r="AE8" s="8">
        <f t="shared" si="6"/>
        <v>3.7205901412604384E-3</v>
      </c>
      <c r="AF8" s="8">
        <f t="shared" si="7"/>
        <v>1.2529069663811078E-3</v>
      </c>
      <c r="AG8" s="8">
        <f t="shared" si="8"/>
        <v>-2.4676831748793307E-3</v>
      </c>
      <c r="AH8" s="10"/>
      <c r="AJ8" s="1" t="s">
        <v>27</v>
      </c>
      <c r="AL8" s="8"/>
      <c r="AN8" s="8">
        <f t="shared" ref="AN8" si="28">SUM(AN6:AN7)</f>
        <v>279779503.76960003</v>
      </c>
      <c r="AO8" s="8">
        <f t="shared" ref="AO8" si="29">SUM(AO6:AO7)</f>
        <v>100238178.01817696</v>
      </c>
      <c r="AP8" s="8">
        <f>SUM(AP6:AP7)</f>
        <v>3.8001768178777702E-4</v>
      </c>
      <c r="AQ8" s="8">
        <f>SUM(AQ6:AQ7)</f>
        <v>1.8123416348286007E-4</v>
      </c>
      <c r="AR8" s="8">
        <f>AQ8-AP8</f>
        <v>-1.9878351830491695E-4</v>
      </c>
      <c r="AS8" s="8"/>
      <c r="AU8" t="s">
        <v>18</v>
      </c>
      <c r="AV8" s="12">
        <v>53664.02</v>
      </c>
      <c r="AW8" s="8">
        <v>1443590000</v>
      </c>
      <c r="AX8">
        <v>4511.93</v>
      </c>
      <c r="AY8" s="91">
        <f t="shared" si="9"/>
        <v>62825036.800000004</v>
      </c>
      <c r="AZ8" s="91">
        <f t="shared" si="10"/>
        <v>66684004.241202034</v>
      </c>
      <c r="BA8" s="8">
        <f t="shared" si="11"/>
        <v>1.2950904104120205E-4</v>
      </c>
      <c r="BB8" s="91">
        <f t="shared" si="12"/>
        <v>1.367432917830002E-4</v>
      </c>
      <c r="BE8" t="s">
        <v>43</v>
      </c>
      <c r="BG8" t="s">
        <v>1</v>
      </c>
      <c r="BH8">
        <v>1143772.0999999994</v>
      </c>
      <c r="BI8">
        <v>15566161581.000004</v>
      </c>
      <c r="BJ8">
        <v>19095.3</v>
      </c>
      <c r="BK8" s="91">
        <f t="shared" si="13"/>
        <v>677439352.00512016</v>
      </c>
      <c r="BL8" s="91">
        <f t="shared" si="14"/>
        <v>3043150789.2553182</v>
      </c>
      <c r="BM8" s="8">
        <f t="shared" si="15"/>
        <v>3.7205901412604384E-3</v>
      </c>
      <c r="BN8" s="91">
        <f t="shared" si="16"/>
        <v>1.0802637589291024E-3</v>
      </c>
      <c r="BO8" s="8">
        <f t="shared" si="17"/>
        <v>-2.640326382331336E-3</v>
      </c>
      <c r="BP8" s="10"/>
      <c r="BR8" s="1" t="s">
        <v>27</v>
      </c>
      <c r="BT8" s="8"/>
      <c r="BV8" s="8">
        <f t="shared" ref="BV8" si="30">SUM(BV6:BV7)</f>
        <v>279779503.76960003</v>
      </c>
      <c r="BW8" s="8">
        <f t="shared" ref="BW8" si="31">SUM(BW6:BW7)</f>
        <v>100238178.01817696</v>
      </c>
      <c r="BX8" s="8">
        <f>SUM(BX6:BX7)</f>
        <v>3.8001768178777702E-4</v>
      </c>
      <c r="BY8" s="8">
        <f>SUM(BY6:BY7)</f>
        <v>2.5858392154213871E-4</v>
      </c>
      <c r="BZ8" s="8">
        <f>BY8-BX8</f>
        <v>-1.2143376024563831E-4</v>
      </c>
      <c r="CA8" s="8"/>
      <c r="CC8" t="s">
        <v>18</v>
      </c>
      <c r="CD8" s="12">
        <v>53664.02</v>
      </c>
      <c r="CE8" s="8">
        <v>1443590000</v>
      </c>
      <c r="CF8">
        <v>4511.93</v>
      </c>
      <c r="CG8" s="8">
        <f t="shared" si="18"/>
        <v>62825036.800000004</v>
      </c>
      <c r="CH8" s="8">
        <f t="shared" si="19"/>
        <v>66684004.241202034</v>
      </c>
      <c r="CI8" s="8">
        <f t="shared" si="20"/>
        <v>1.2950904104120205E-4</v>
      </c>
      <c r="CJ8" s="8">
        <f t="shared" si="21"/>
        <v>1.402758851746606E-4</v>
      </c>
      <c r="CM8" t="s">
        <v>43</v>
      </c>
      <c r="CO8" t="s">
        <v>1</v>
      </c>
      <c r="CP8">
        <v>1143772.0999999994</v>
      </c>
      <c r="CQ8">
        <v>15566161581.000004</v>
      </c>
      <c r="CR8">
        <v>19095.3</v>
      </c>
      <c r="CS8" s="91">
        <f t="shared" si="22"/>
        <v>677439352.00512016</v>
      </c>
      <c r="CT8" s="91">
        <f t="shared" si="23"/>
        <v>3043150789.2553182</v>
      </c>
      <c r="CU8" s="91">
        <f t="shared" si="24"/>
        <v>3.7205901412604384E-3</v>
      </c>
      <c r="CV8" s="91">
        <f t="shared" si="25"/>
        <v>1.4831019387973171E-3</v>
      </c>
      <c r="CW8" s="8">
        <f t="shared" si="26"/>
        <v>-2.2374882024631211E-3</v>
      </c>
    </row>
    <row r="9" spans="1:101" x14ac:dyDescent="0.35">
      <c r="A9">
        <v>2023</v>
      </c>
      <c r="B9" t="s">
        <v>3</v>
      </c>
      <c r="C9">
        <f>273291.5</f>
        <v>273291.5</v>
      </c>
      <c r="D9" s="8" t="s">
        <v>7</v>
      </c>
      <c r="M9" t="s">
        <v>19</v>
      </c>
      <c r="N9" s="12">
        <v>5064.8999999999996</v>
      </c>
      <c r="O9" s="8">
        <v>157695000</v>
      </c>
      <c r="P9">
        <v>13389.8</v>
      </c>
      <c r="Q9" s="8">
        <f t="shared" si="0"/>
        <v>6862886.4000000004</v>
      </c>
      <c r="R9" s="8">
        <f t="shared" si="1"/>
        <v>21617599.46436635</v>
      </c>
      <c r="S9" s="8">
        <f t="shared" si="2"/>
        <v>2.8480485864366353E-5</v>
      </c>
      <c r="T9" s="8">
        <f t="shared" si="3"/>
        <v>1.5323468375797909E-5</v>
      </c>
      <c r="X9">
        <v>2023</v>
      </c>
      <c r="Y9" t="s">
        <v>24</v>
      </c>
      <c r="Z9">
        <v>1879083.3799999987</v>
      </c>
      <c r="AA9" s="8">
        <v>36631689794.419991</v>
      </c>
      <c r="AI9">
        <v>2023</v>
      </c>
      <c r="AJ9" t="s">
        <v>3</v>
      </c>
      <c r="AK9">
        <f>273291.5</f>
        <v>273291.5</v>
      </c>
      <c r="AL9" s="8" t="s">
        <v>7</v>
      </c>
      <c r="AU9" t="s">
        <v>19</v>
      </c>
      <c r="AV9" s="12">
        <v>5064.8999999999996</v>
      </c>
      <c r="AW9" s="8">
        <v>157695000</v>
      </c>
      <c r="AX9">
        <v>13389.8</v>
      </c>
      <c r="AY9" s="91">
        <f t="shared" si="9"/>
        <v>6862886.4000000004</v>
      </c>
      <c r="AZ9" s="91">
        <f t="shared" si="10"/>
        <v>21617599.46436635</v>
      </c>
      <c r="BA9" s="8">
        <f t="shared" si="11"/>
        <v>2.8480485864366353E-5</v>
      </c>
      <c r="BB9" s="91">
        <f t="shared" si="12"/>
        <v>1.4937574656045149E-5</v>
      </c>
      <c r="BF9">
        <v>2023</v>
      </c>
      <c r="BG9" t="s">
        <v>24</v>
      </c>
      <c r="BH9">
        <v>1879083.3799999987</v>
      </c>
      <c r="BI9" s="8">
        <v>36631689794.419991</v>
      </c>
      <c r="BQ9">
        <v>2023</v>
      </c>
      <c r="BR9" t="s">
        <v>3</v>
      </c>
      <c r="BS9">
        <f>273291.5</f>
        <v>273291.5</v>
      </c>
      <c r="BT9" s="8" t="s">
        <v>7</v>
      </c>
      <c r="CC9" t="s">
        <v>19</v>
      </c>
      <c r="CD9" s="12">
        <v>5064.8999999999996</v>
      </c>
      <c r="CE9" s="8">
        <v>157695000</v>
      </c>
      <c r="CF9">
        <v>13389.8</v>
      </c>
      <c r="CG9" s="8">
        <f t="shared" si="18"/>
        <v>6862886.4000000004</v>
      </c>
      <c r="CH9" s="8">
        <f t="shared" si="19"/>
        <v>21617599.46436635</v>
      </c>
      <c r="CI9" s="8">
        <f t="shared" si="20"/>
        <v>2.8480485864366353E-5</v>
      </c>
      <c r="CJ9" s="8">
        <f t="shared" si="21"/>
        <v>1.5323468375797909E-5</v>
      </c>
      <c r="CN9">
        <v>2023</v>
      </c>
      <c r="CO9" t="s">
        <v>24</v>
      </c>
      <c r="CP9">
        <v>1879083.3799999987</v>
      </c>
      <c r="CQ9" s="8">
        <v>36631689794.419991</v>
      </c>
    </row>
    <row r="10" spans="1:101" ht="15" thickBot="1" x14ac:dyDescent="0.4">
      <c r="B10" t="s">
        <v>4</v>
      </c>
      <c r="C10">
        <f>268813.66</f>
        <v>268813.65999999997</v>
      </c>
      <c r="D10" s="13">
        <v>5918180000</v>
      </c>
      <c r="E10">
        <v>1519.17</v>
      </c>
      <c r="F10" s="8">
        <f>D10*$B$36</f>
        <v>257559193.60000002</v>
      </c>
      <c r="G10" s="8">
        <f>D10*E10*$B$35</f>
        <v>92047076.148450434</v>
      </c>
      <c r="H10" s="8">
        <f>SUM(F10:G10)*0.000000000001</f>
        <v>3.4960626974845044E-4</v>
      </c>
      <c r="I10" s="8">
        <f>D10*$B$37*0.000000000001</f>
        <v>1.8431333357712146E-4</v>
      </c>
      <c r="J10" s="8"/>
      <c r="K10" s="8"/>
      <c r="M10" t="s">
        <v>20</v>
      </c>
      <c r="N10" s="12">
        <v>2239.1799999999998</v>
      </c>
      <c r="O10" s="8">
        <v>77530100</v>
      </c>
      <c r="P10">
        <v>13090.6</v>
      </c>
      <c r="Q10" s="8">
        <f t="shared" si="0"/>
        <v>3374109.952</v>
      </c>
      <c r="R10" s="8">
        <f t="shared" si="1"/>
        <v>10390712.991543001</v>
      </c>
      <c r="S10" s="8">
        <f t="shared" si="2"/>
        <v>1.3764822943543E-5</v>
      </c>
      <c r="T10" s="8">
        <f t="shared" si="3"/>
        <v>7.5337203812578052E-6</v>
      </c>
      <c r="W10" t="s">
        <v>42</v>
      </c>
      <c r="Y10" t="s">
        <v>1</v>
      </c>
      <c r="Z10">
        <f>Z9-(C9+N12)</f>
        <v>1274124.8299999987</v>
      </c>
      <c r="AA10" s="8">
        <f>AA9-(O12+D13)</f>
        <v>24527849794.419991</v>
      </c>
      <c r="AB10" s="2">
        <v>38.352499999999999</v>
      </c>
      <c r="AC10" s="8">
        <f>AA10*$Y$38</f>
        <v>1067452023.053158</v>
      </c>
      <c r="AD10" s="8">
        <f>AA10*AB10*$Y$37</f>
        <v>9630938.4832019266</v>
      </c>
      <c r="AE10" s="8">
        <f>SUM(AC10:AD10)*0.000000000001</f>
        <v>1.0770829615363599E-3</v>
      </c>
      <c r="AF10" s="8">
        <f>AA10*$Y$39*0.000000000001</f>
        <v>1.9742255480174704E-3</v>
      </c>
      <c r="AG10" s="8">
        <f>AF10-AE10</f>
        <v>8.971425864811105E-4</v>
      </c>
      <c r="AH10" s="10"/>
      <c r="AJ10" t="s">
        <v>4</v>
      </c>
      <c r="AK10">
        <f>268813.66</f>
        <v>268813.65999999997</v>
      </c>
      <c r="AL10" s="13">
        <v>5918180000</v>
      </c>
      <c r="AM10">
        <v>1519.17</v>
      </c>
      <c r="AN10" s="91">
        <f>AL10*AJ$36</f>
        <v>257559193.60000002</v>
      </c>
      <c r="AO10" s="91">
        <f>AL10*AM10*AJ$35</f>
        <v>92047076.148450434</v>
      </c>
      <c r="AP10" s="8">
        <f>SUM(AN10:AO10)*0.000000000001</f>
        <v>3.4960626974845044E-4</v>
      </c>
      <c r="AQ10" s="91">
        <f>AL10*AJ$37*0.000000000001</f>
        <v>1.6684040242581898E-4</v>
      </c>
      <c r="AR10" s="8"/>
      <c r="AS10" s="8"/>
      <c r="AU10" t="s">
        <v>20</v>
      </c>
      <c r="AV10" s="12">
        <v>2239.1799999999998</v>
      </c>
      <c r="AW10" s="8">
        <v>77530100</v>
      </c>
      <c r="AX10">
        <v>13090.6</v>
      </c>
      <c r="AY10" s="91">
        <f t="shared" si="9"/>
        <v>3374109.952</v>
      </c>
      <c r="AZ10" s="91">
        <f t="shared" si="10"/>
        <v>10390712.991543001</v>
      </c>
      <c r="BA10" s="8">
        <f t="shared" si="11"/>
        <v>1.3764822943543E-5</v>
      </c>
      <c r="BB10" s="91">
        <f t="shared" si="12"/>
        <v>7.3439973165962531E-6</v>
      </c>
      <c r="BE10" t="s">
        <v>42</v>
      </c>
      <c r="BG10" t="s">
        <v>1</v>
      </c>
      <c r="BH10">
        <f>BH9-(AK9+AV12)</f>
        <v>1274124.8299999987</v>
      </c>
      <c r="BI10" s="8">
        <f>BI9-(AW12+AL13)</f>
        <v>24527849794.419991</v>
      </c>
      <c r="BJ10" s="2">
        <v>38.352499999999999</v>
      </c>
      <c r="BK10" s="91">
        <f t="shared" ref="BK10:BK12" si="32">BI10*BG$38</f>
        <v>1067452023.053158</v>
      </c>
      <c r="BL10" s="91">
        <f t="shared" ref="BL10:BL12" si="33">BI10*BJ10*BG$37</f>
        <v>9630938.4832019266</v>
      </c>
      <c r="BM10" s="8">
        <f>SUM(BK10:BL10)*0.000000000001</f>
        <v>1.0770829615363599E-3</v>
      </c>
      <c r="BN10" s="91">
        <f t="shared" ref="BN10:BN12" si="34">BI10*BG$39*0.000000000001</f>
        <v>1.7021888844909673E-3</v>
      </c>
      <c r="BO10" s="8">
        <f>BN10-BM10</f>
        <v>6.2510592295460742E-4</v>
      </c>
      <c r="BP10" s="10"/>
      <c r="BR10" t="s">
        <v>4</v>
      </c>
      <c r="BS10">
        <f>268813.66</f>
        <v>268813.65999999997</v>
      </c>
      <c r="BT10" s="13">
        <v>5918180000</v>
      </c>
      <c r="BU10">
        <v>1519.17</v>
      </c>
      <c r="BV10" s="91">
        <f>BT10*BR$36</f>
        <v>257559193.60000002</v>
      </c>
      <c r="BW10" s="91">
        <f>BT10*BU10*BR$35</f>
        <v>92047076.148450434</v>
      </c>
      <c r="BX10" s="91">
        <f>SUM(BV10:BW10)*0.000000000001</f>
        <v>3.4960626974845044E-4</v>
      </c>
      <c r="BY10" s="91">
        <f>BT10*BR$37*0.000000000001</f>
        <v>2.3804698132985806E-4</v>
      </c>
      <c r="BZ10" s="8"/>
      <c r="CA10" s="8"/>
      <c r="CC10" t="s">
        <v>20</v>
      </c>
      <c r="CD10" s="12">
        <v>2239.1799999999998</v>
      </c>
      <c r="CE10" s="8">
        <v>77530100</v>
      </c>
      <c r="CF10">
        <v>13090.6</v>
      </c>
      <c r="CG10" s="8">
        <f t="shared" si="18"/>
        <v>3374109.952</v>
      </c>
      <c r="CH10" s="8">
        <f t="shared" si="19"/>
        <v>10390712.991543001</v>
      </c>
      <c r="CI10" s="8">
        <f t="shared" si="20"/>
        <v>1.3764822943543E-5</v>
      </c>
      <c r="CJ10" s="8">
        <f t="shared" si="21"/>
        <v>7.5337203812578052E-6</v>
      </c>
      <c r="CM10" t="s">
        <v>42</v>
      </c>
      <c r="CO10" t="s">
        <v>1</v>
      </c>
      <c r="CP10">
        <f>CP9-(BS9+CD12)</f>
        <v>1274124.8299999987</v>
      </c>
      <c r="CQ10" s="8">
        <f>CQ9-(CE12+BT13)</f>
        <v>24527849794.419991</v>
      </c>
      <c r="CR10" s="2">
        <v>38.352499999999999</v>
      </c>
      <c r="CS10" s="91">
        <f t="shared" ref="CS10:CS12" si="35">CQ10*CO$38</f>
        <v>1067452023.053158</v>
      </c>
      <c r="CT10" s="91">
        <f t="shared" ref="CT10:CT12" si="36">CQ10*CR10*CO$37</f>
        <v>9630938.4832019266</v>
      </c>
      <c r="CU10" s="91">
        <f t="shared" ref="CU10:CU12" si="37">SUM(CS10:CT10)*0.000000000001</f>
        <v>1.0770829615363599E-3</v>
      </c>
      <c r="CV10" s="91">
        <f t="shared" ref="CV10:CV12" si="38">CQ10*CO$39*0.000000000001</f>
        <v>2.3369474481773119E-3</v>
      </c>
      <c r="CW10" s="8">
        <f>CV10-CU10</f>
        <v>1.259864486640952E-3</v>
      </c>
    </row>
    <row r="11" spans="1:101" ht="15" thickBot="1" x14ac:dyDescent="0.4">
      <c r="B11" t="s">
        <v>5</v>
      </c>
      <c r="C11">
        <f>2805.04</f>
        <v>2805.04</v>
      </c>
      <c r="D11" s="14">
        <v>6985000</v>
      </c>
      <c r="E11" s="2">
        <v>5203.3100000000004</v>
      </c>
      <c r="F11" s="8">
        <f>D11*$B$36</f>
        <v>303987.20000000001</v>
      </c>
      <c r="G11" s="8">
        <f>D11*E11*$B$35</f>
        <v>372101.62238222687</v>
      </c>
      <c r="H11" s="8">
        <f>SUM(F11:G11)*0.000000000001</f>
        <v>6.7608882238222677E-7</v>
      </c>
      <c r="I11" s="8">
        <f>D11*$B$37*0.000000000001</f>
        <v>2.1753793143097932E-7</v>
      </c>
      <c r="J11" s="8"/>
      <c r="K11" s="8"/>
      <c r="M11" s="1" t="s">
        <v>27</v>
      </c>
      <c r="Q11" s="8">
        <f>SUM(Q6:Q10)</f>
        <v>244918596.35200003</v>
      </c>
      <c r="R11" s="8">
        <f t="shared" ref="R11:T11" si="39">SUM(R6:R10)</f>
        <v>364442560.71328318</v>
      </c>
      <c r="S11" s="8">
        <f t="shared" si="39"/>
        <v>6.0936115706528319E-4</v>
      </c>
      <c r="T11" s="8">
        <f t="shared" si="39"/>
        <v>5.4685479943900647E-4</v>
      </c>
      <c r="U11" s="8">
        <f>T11-S11</f>
        <v>-6.2506357626276724E-5</v>
      </c>
      <c r="V11" s="8"/>
      <c r="W11" t="s">
        <v>47</v>
      </c>
      <c r="Y11" t="s">
        <v>1</v>
      </c>
      <c r="Z11">
        <v>1274124.8299999987</v>
      </c>
      <c r="AA11" s="8">
        <v>24527849794.419991</v>
      </c>
      <c r="AB11" s="2">
        <v>3240</v>
      </c>
      <c r="AC11" s="8">
        <f t="shared" ref="AC11:AC12" si="40">AA11*$Y$38</f>
        <v>1067452023.053158</v>
      </c>
      <c r="AD11" s="8">
        <f t="shared" ref="AD11:AD12" si="41">AA11*AB11*$Y$37</f>
        <v>813616861.62764466</v>
      </c>
      <c r="AE11" s="8">
        <f t="shared" ref="AE11:AE12" si="42">SUM(AC11:AD11)*0.000000000001</f>
        <v>1.8810688846808029E-3</v>
      </c>
      <c r="AF11" s="8">
        <f t="shared" ref="AF11:AF12" si="43">AA11*$Y$39*0.000000000001</f>
        <v>1.9742255480174704E-3</v>
      </c>
      <c r="AG11" s="8">
        <f t="shared" ref="AG11:AG12" si="44">AF11-AE11</f>
        <v>9.315666333666755E-5</v>
      </c>
      <c r="AH11" s="10"/>
      <c r="AJ11" t="s">
        <v>5</v>
      </c>
      <c r="AK11">
        <f>2805.04</f>
        <v>2805.04</v>
      </c>
      <c r="AL11" s="14">
        <v>6985000</v>
      </c>
      <c r="AM11" s="2">
        <v>5203.3100000000004</v>
      </c>
      <c r="AN11" s="91">
        <f>AL11*AJ$36</f>
        <v>303987.20000000001</v>
      </c>
      <c r="AO11" s="91">
        <f>AL11*AM11*AJ$35</f>
        <v>372101.62238222687</v>
      </c>
      <c r="AP11" s="8">
        <f>SUM(AN11:AO11)*0.000000000001</f>
        <v>6.7608882238222677E-7</v>
      </c>
      <c r="AQ11" s="91">
        <f>AL11*AJ$37*0.000000000001</f>
        <v>1.969153035129627E-7</v>
      </c>
      <c r="AR11" s="8"/>
      <c r="AS11" s="8"/>
      <c r="AU11" s="1" t="s">
        <v>27</v>
      </c>
      <c r="AY11" s="8">
        <f>SUM(AY6:AY10)</f>
        <v>244918596.35200003</v>
      </c>
      <c r="AZ11" s="8">
        <f t="shared" ref="AZ11" si="45">SUM(AZ6:AZ10)</f>
        <v>364442560.71328318</v>
      </c>
      <c r="BA11" s="8">
        <f t="shared" ref="BA11" si="46">SUM(BA6:BA10)</f>
        <v>6.0936115706528319E-4</v>
      </c>
      <c r="BB11" s="8">
        <f t="shared" ref="BB11" si="47">SUM(BB6:BB10)</f>
        <v>5.3308325454167317E-4</v>
      </c>
      <c r="BC11" s="8">
        <f>BB11-BA11</f>
        <v>-7.6277902523610021E-5</v>
      </c>
      <c r="BD11" s="8"/>
      <c r="BE11" t="s">
        <v>47</v>
      </c>
      <c r="BG11" t="s">
        <v>1</v>
      </c>
      <c r="BH11">
        <v>1274124.8299999987</v>
      </c>
      <c r="BI11" s="8">
        <v>24527849794.419991</v>
      </c>
      <c r="BJ11" s="2">
        <v>3240</v>
      </c>
      <c r="BK11" s="91">
        <f t="shared" si="32"/>
        <v>1067452023.053158</v>
      </c>
      <c r="BL11" s="91">
        <f t="shared" si="33"/>
        <v>813616861.62764466</v>
      </c>
      <c r="BM11" s="8">
        <f t="shared" ref="BM11:BM12" si="48">SUM(BK11:BL11)*0.000000000001</f>
        <v>1.8810688846808029E-3</v>
      </c>
      <c r="BN11" s="91">
        <f t="shared" si="34"/>
        <v>1.7021888844909673E-3</v>
      </c>
      <c r="BO11" s="8">
        <f t="shared" ref="BO11:BO12" si="49">BN11-BM11</f>
        <v>-1.7888000018983553E-4</v>
      </c>
      <c r="BP11" s="10"/>
      <c r="BR11" t="s">
        <v>5</v>
      </c>
      <c r="BS11">
        <f>2805.04</f>
        <v>2805.04</v>
      </c>
      <c r="BT11" s="14">
        <v>6985000</v>
      </c>
      <c r="BU11" s="2">
        <v>5203.3100000000004</v>
      </c>
      <c r="BV11" s="91">
        <f>BT11*BR$36</f>
        <v>303987.20000000001</v>
      </c>
      <c r="BW11" s="91">
        <f>BT11*BU11*BR$35</f>
        <v>372101.62238222687</v>
      </c>
      <c r="BX11" s="91">
        <f>SUM(BV11:BW11)*0.000000000001</f>
        <v>6.7608882238222677E-7</v>
      </c>
      <c r="BY11" s="91">
        <f>BT11*BR$37*0.000000000001</f>
        <v>2.8095768709114262E-7</v>
      </c>
      <c r="BZ11" s="8"/>
      <c r="CA11" s="8"/>
      <c r="CC11" s="1" t="s">
        <v>27</v>
      </c>
      <c r="CG11" s="8">
        <f>SUM(CG6:CG10)</f>
        <v>244918596.35200003</v>
      </c>
      <c r="CH11" s="8">
        <f t="shared" ref="CH11" si="50">SUM(CH6:CH10)</f>
        <v>364442560.71328318</v>
      </c>
      <c r="CI11" s="8">
        <f t="shared" ref="CI11" si="51">SUM(CI6:CI10)</f>
        <v>6.0936115706528319E-4</v>
      </c>
      <c r="CJ11" s="8">
        <f t="shared" ref="CJ11" si="52">SUM(CJ6:CJ10)</f>
        <v>5.4685479943900647E-4</v>
      </c>
      <c r="CK11" s="8">
        <f>CJ11-CI11</f>
        <v>-6.2506357626276724E-5</v>
      </c>
      <c r="CL11" s="8"/>
      <c r="CM11" t="s">
        <v>47</v>
      </c>
      <c r="CO11" t="s">
        <v>1</v>
      </c>
      <c r="CP11">
        <v>1274124.8299999987</v>
      </c>
      <c r="CQ11" s="8">
        <v>24527849794.419991</v>
      </c>
      <c r="CR11" s="2">
        <v>3240</v>
      </c>
      <c r="CS11" s="91">
        <f t="shared" si="35"/>
        <v>1067452023.053158</v>
      </c>
      <c r="CT11" s="91">
        <f t="shared" si="36"/>
        <v>813616861.62764466</v>
      </c>
      <c r="CU11" s="91">
        <f t="shared" si="37"/>
        <v>1.8810688846808029E-3</v>
      </c>
      <c r="CV11" s="91">
        <f t="shared" si="38"/>
        <v>2.3369474481773119E-3</v>
      </c>
      <c r="CW11" s="8">
        <f t="shared" ref="CW11:CW12" si="53">CV11-CU11</f>
        <v>4.5587856349650906E-4</v>
      </c>
    </row>
    <row r="12" spans="1:101" ht="15" thickBot="1" x14ac:dyDescent="0.4">
      <c r="B12" s="1" t="s">
        <v>27</v>
      </c>
      <c r="D12" s="8"/>
      <c r="F12" s="8">
        <f t="shared" ref="F12:G12" si="54">SUM(F10:F11)</f>
        <v>257863180.80000001</v>
      </c>
      <c r="G12" s="8">
        <f t="shared" si="54"/>
        <v>92419177.770832658</v>
      </c>
      <c r="H12" s="8">
        <f>SUM(H10:H11)</f>
        <v>3.5028235857083269E-4</v>
      </c>
      <c r="I12" s="8">
        <f>SUM(I10:I11)</f>
        <v>1.8453087150855244E-4</v>
      </c>
      <c r="J12" s="8">
        <f>I12-H12</f>
        <v>-1.6575148706228024E-4</v>
      </c>
      <c r="K12" s="8"/>
      <c r="L12">
        <v>2023</v>
      </c>
      <c r="M12" t="s">
        <v>22</v>
      </c>
      <c r="N12">
        <v>331667.05</v>
      </c>
      <c r="O12" s="8">
        <v>6497940000</v>
      </c>
      <c r="W12" t="s">
        <v>43</v>
      </c>
      <c r="Y12" t="s">
        <v>1</v>
      </c>
      <c r="Z12">
        <v>1274124.8299999987</v>
      </c>
      <c r="AA12">
        <v>24527849794.419991</v>
      </c>
      <c r="AB12">
        <v>19095.3</v>
      </c>
      <c r="AC12" s="8">
        <f t="shared" si="40"/>
        <v>1067452023.053158</v>
      </c>
      <c r="AD12" s="8">
        <f t="shared" si="41"/>
        <v>4795141375.8760376</v>
      </c>
      <c r="AE12" s="8">
        <f t="shared" si="42"/>
        <v>5.8625933989291954E-3</v>
      </c>
      <c r="AF12" s="8">
        <f t="shared" si="43"/>
        <v>1.9742255480174704E-3</v>
      </c>
      <c r="AG12" s="8">
        <f t="shared" si="44"/>
        <v>-3.888367850911725E-3</v>
      </c>
      <c r="AH12" s="10"/>
      <c r="AJ12" s="1" t="s">
        <v>27</v>
      </c>
      <c r="AL12" s="8"/>
      <c r="AN12" s="8">
        <f t="shared" ref="AN12" si="55">SUM(AN10:AN11)</f>
        <v>257863180.80000001</v>
      </c>
      <c r="AO12" s="8">
        <f t="shared" ref="AO12" si="56">SUM(AO10:AO11)</f>
        <v>92419177.770832658</v>
      </c>
      <c r="AP12" s="8">
        <f>SUM(AP10:AP11)</f>
        <v>3.5028235857083269E-4</v>
      </c>
      <c r="AQ12" s="8">
        <f>SUM(AQ10:AQ11)</f>
        <v>1.6703731772933195E-4</v>
      </c>
      <c r="AR12" s="8">
        <f>AQ12-AP12</f>
        <v>-1.8324504084150074E-4</v>
      </c>
      <c r="AS12" s="8"/>
      <c r="AT12">
        <v>2023</v>
      </c>
      <c r="AU12" t="s">
        <v>22</v>
      </c>
      <c r="AV12">
        <v>331667.05</v>
      </c>
      <c r="AW12" s="8">
        <v>6497940000</v>
      </c>
      <c r="BE12" t="s">
        <v>43</v>
      </c>
      <c r="BG12" t="s">
        <v>1</v>
      </c>
      <c r="BH12">
        <v>1274124.8299999987</v>
      </c>
      <c r="BI12">
        <v>24527849794.419991</v>
      </c>
      <c r="BJ12">
        <v>19095.3</v>
      </c>
      <c r="BK12" s="91">
        <f t="shared" si="32"/>
        <v>1067452023.053158</v>
      </c>
      <c r="BL12" s="91">
        <f t="shared" si="33"/>
        <v>4795141375.8760376</v>
      </c>
      <c r="BM12" s="8">
        <f t="shared" si="48"/>
        <v>5.8625933989291954E-3</v>
      </c>
      <c r="BN12" s="91">
        <f t="shared" si="34"/>
        <v>1.7021888844909673E-3</v>
      </c>
      <c r="BO12" s="8">
        <f t="shared" si="49"/>
        <v>-4.1604045144382276E-3</v>
      </c>
      <c r="BP12" s="10"/>
      <c r="BR12" s="1" t="s">
        <v>27</v>
      </c>
      <c r="BT12" s="8"/>
      <c r="BV12" s="8">
        <f t="shared" ref="BV12" si="57">SUM(BV10:BV11)</f>
        <v>257863180.80000001</v>
      </c>
      <c r="BW12" s="8">
        <f t="shared" ref="BW12" si="58">SUM(BW10:BW11)</f>
        <v>92419177.770832658</v>
      </c>
      <c r="BX12" s="8">
        <f>SUM(BX10:BX11)</f>
        <v>3.5028235857083269E-4</v>
      </c>
      <c r="BY12" s="8">
        <f>SUM(BY10:BY11)</f>
        <v>2.383279390169492E-4</v>
      </c>
      <c r="BZ12" s="8">
        <f>BY12-BX12</f>
        <v>-1.1195441955388349E-4</v>
      </c>
      <c r="CA12" s="8"/>
      <c r="CB12">
        <v>2023</v>
      </c>
      <c r="CC12" t="s">
        <v>22</v>
      </c>
      <c r="CD12">
        <v>331667.05</v>
      </c>
      <c r="CE12" s="8">
        <v>6497940000</v>
      </c>
      <c r="CM12" t="s">
        <v>43</v>
      </c>
      <c r="CO12" t="s">
        <v>1</v>
      </c>
      <c r="CP12">
        <v>1274124.8299999987</v>
      </c>
      <c r="CQ12">
        <v>24527849794.419991</v>
      </c>
      <c r="CR12">
        <v>19095.3</v>
      </c>
      <c r="CS12" s="91">
        <f t="shared" si="35"/>
        <v>1067452023.053158</v>
      </c>
      <c r="CT12" s="91">
        <f t="shared" si="36"/>
        <v>4795141375.8760376</v>
      </c>
      <c r="CU12" s="91">
        <f t="shared" si="37"/>
        <v>5.8625933989291954E-3</v>
      </c>
      <c r="CV12" s="91">
        <f t="shared" si="38"/>
        <v>2.3369474481773119E-3</v>
      </c>
      <c r="CW12" s="8">
        <f t="shared" si="53"/>
        <v>-3.5256459507518835E-3</v>
      </c>
    </row>
    <row r="13" spans="1:101" ht="15" thickBot="1" x14ac:dyDescent="0.4">
      <c r="A13">
        <v>2022</v>
      </c>
      <c r="B13" t="s">
        <v>3</v>
      </c>
      <c r="C13" s="6">
        <f>250154.5</f>
        <v>250154.5</v>
      </c>
      <c r="D13" s="13">
        <v>5605900000</v>
      </c>
      <c r="M13" t="s">
        <v>17</v>
      </c>
      <c r="N13">
        <v>108262.64</v>
      </c>
      <c r="O13" s="8">
        <v>1760010000</v>
      </c>
      <c r="P13">
        <v>10024.9</v>
      </c>
      <c r="Q13" s="8">
        <f>O13*$M$49</f>
        <v>76595635.200000003</v>
      </c>
      <c r="R13" s="8">
        <f>O13*P13*$M$48</f>
        <v>180638632.50467992</v>
      </c>
      <c r="S13" s="8">
        <f>SUM(Q13:R13)*0.000000000001</f>
        <v>2.5723426770467989E-4</v>
      </c>
      <c r="T13" s="8">
        <f>O13*$M$50*0.000000000001</f>
        <v>1.7102290862797221E-4</v>
      </c>
      <c r="X13">
        <v>2022</v>
      </c>
      <c r="Y13" t="s">
        <v>24</v>
      </c>
      <c r="Z13">
        <v>1781736.8100000012</v>
      </c>
      <c r="AA13" s="8">
        <v>32802798737.869999</v>
      </c>
      <c r="AI13">
        <v>2022</v>
      </c>
      <c r="AJ13" t="s">
        <v>3</v>
      </c>
      <c r="AK13" s="6">
        <f>250154.5</f>
        <v>250154.5</v>
      </c>
      <c r="AL13" s="13">
        <v>5605900000</v>
      </c>
      <c r="AU13" t="s">
        <v>17</v>
      </c>
      <c r="AV13">
        <v>108262.64</v>
      </c>
      <c r="AW13" s="8">
        <v>1760010000</v>
      </c>
      <c r="AX13">
        <v>10024.9</v>
      </c>
      <c r="AY13" s="91">
        <f t="shared" ref="AY13:AY18" si="59">AW13*AU$49</f>
        <v>76595635.200000003</v>
      </c>
      <c r="AZ13" s="91">
        <f t="shared" ref="AZ13:AZ18" si="60">AW13*AX13*AU$48</f>
        <v>180638632.50467992</v>
      </c>
      <c r="BA13" s="8">
        <f>SUM(AY13:AZ13)*0.000000000001</f>
        <v>2.5723426770467989E-4</v>
      </c>
      <c r="BB13" s="91">
        <f t="shared" ref="BB13:BB18" si="61">AW13*AU$50*0.000000000001</f>
        <v>1.6671600729500634E-4</v>
      </c>
      <c r="BF13">
        <v>2022</v>
      </c>
      <c r="BG13" t="s">
        <v>24</v>
      </c>
      <c r="BH13">
        <v>1781736.8100000012</v>
      </c>
      <c r="BI13" s="8">
        <v>32802798737.869999</v>
      </c>
      <c r="BQ13">
        <v>2022</v>
      </c>
      <c r="BR13" t="s">
        <v>3</v>
      </c>
      <c r="BS13" s="6">
        <f>250154.5</f>
        <v>250154.5</v>
      </c>
      <c r="BT13" s="13">
        <v>5605900000</v>
      </c>
      <c r="CC13" t="s">
        <v>17</v>
      </c>
      <c r="CD13">
        <v>108262.64</v>
      </c>
      <c r="CE13" s="8">
        <v>1760010000</v>
      </c>
      <c r="CF13">
        <v>10024.9</v>
      </c>
      <c r="CG13" s="8">
        <f>CE13*$M$49</f>
        <v>76595635.200000003</v>
      </c>
      <c r="CH13" s="8">
        <f>CE13*CF13*$M$48</f>
        <v>180638632.50467992</v>
      </c>
      <c r="CI13" s="8">
        <f>SUM(CG13:CH13)*0.000000000001</f>
        <v>2.5723426770467989E-4</v>
      </c>
      <c r="CJ13" s="8">
        <f>CE13*$M$50*0.000000000001</f>
        <v>1.7102290862797221E-4</v>
      </c>
      <c r="CN13">
        <v>2022</v>
      </c>
      <c r="CO13" t="s">
        <v>24</v>
      </c>
      <c r="CP13">
        <v>1781736.8100000012</v>
      </c>
      <c r="CQ13" s="8">
        <v>32802798737.869999</v>
      </c>
    </row>
    <row r="14" spans="1:101" ht="15" thickBot="1" x14ac:dyDescent="0.4">
      <c r="B14" t="s">
        <v>4</v>
      </c>
      <c r="C14" s="5">
        <f>243422.45</f>
        <v>243422.45</v>
      </c>
      <c r="D14" s="14">
        <v>5566560000</v>
      </c>
      <c r="E14">
        <v>1519.17</v>
      </c>
      <c r="F14" s="8">
        <f>D14*$B$36</f>
        <v>242256691.20000002</v>
      </c>
      <c r="G14" s="8">
        <f>D14*E14*$B$35</f>
        <v>86578233.883544981</v>
      </c>
      <c r="H14" s="8">
        <f>SUM(F14:G14)*0.000000000001</f>
        <v>3.2883492508354494E-4</v>
      </c>
      <c r="I14" s="8">
        <f>D14*$B$37*0.000000000001</f>
        <v>1.733626267124456E-4</v>
      </c>
      <c r="J14" s="8"/>
      <c r="K14" s="8"/>
      <c r="M14" t="s">
        <v>16</v>
      </c>
      <c r="N14">
        <v>88031.64</v>
      </c>
      <c r="O14" s="8">
        <v>2077560000</v>
      </c>
      <c r="P14">
        <v>4900.57</v>
      </c>
      <c r="Q14" s="8">
        <f t="shared" ref="Q14:Q18" si="62">O14*$M$49</f>
        <v>90415411.200000003</v>
      </c>
      <c r="R14" s="8">
        <f t="shared" ref="R14:R18" si="63">O14*P14*$M$48</f>
        <v>104235492.90811509</v>
      </c>
      <c r="S14" s="8">
        <f t="shared" ref="S14:S18" si="64">SUM(Q14:R14)*0.000000000001</f>
        <v>1.9465090410811508E-4</v>
      </c>
      <c r="T14" s="8">
        <f t="shared" ref="T14:T18" si="65">O14*$M$50*0.000000000001</f>
        <v>2.0187973593850601E-4</v>
      </c>
      <c r="W14" t="s">
        <v>42</v>
      </c>
      <c r="Y14" t="s">
        <v>1</v>
      </c>
      <c r="Z14" s="16">
        <f>Z13-(N20+C13)</f>
        <v>1323496.0400000012</v>
      </c>
      <c r="AA14" s="8">
        <f>AA13-(O20+D13)</f>
        <v>23335498737.869999</v>
      </c>
      <c r="AB14" s="2">
        <v>38.352499999999999</v>
      </c>
      <c r="AC14" s="8">
        <f>AA14*$Y$38</f>
        <v>1015560905.0721024</v>
      </c>
      <c r="AD14" s="8">
        <f>AA14*AB14*$Y$37</f>
        <v>9162758.0363929998</v>
      </c>
      <c r="AE14" s="8">
        <f>SUM(AC14:AD14)*0.000000000001</f>
        <v>1.0247236631084954E-3</v>
      </c>
      <c r="AF14" s="8">
        <f>AA14*$Y$39*0.000000000001</f>
        <v>1.8782542363135748E-3</v>
      </c>
      <c r="AG14" s="8">
        <f>AF14-AE14</f>
        <v>8.5353057320507945E-4</v>
      </c>
      <c r="AH14" s="10"/>
      <c r="AJ14" t="s">
        <v>4</v>
      </c>
      <c r="AK14" s="5">
        <f>243422.45</f>
        <v>243422.45</v>
      </c>
      <c r="AL14" s="14">
        <v>5566560000</v>
      </c>
      <c r="AM14">
        <v>1519.17</v>
      </c>
      <c r="AN14" s="91">
        <f>AL14*AJ$36</f>
        <v>242256691.20000002</v>
      </c>
      <c r="AO14" s="91">
        <f>AL14*AM14*AJ$35</f>
        <v>86578233.883544981</v>
      </c>
      <c r="AP14" s="8">
        <f>SUM(AN14:AO14)*0.000000000001</f>
        <v>3.2883492508354494E-4</v>
      </c>
      <c r="AQ14" s="91">
        <f>AL14*AJ$37*0.000000000001</f>
        <v>1.5692782418369615E-4</v>
      </c>
      <c r="AR14" s="8"/>
      <c r="AS14" s="8"/>
      <c r="AU14" t="s">
        <v>16</v>
      </c>
      <c r="AV14">
        <v>88031.64</v>
      </c>
      <c r="AW14" s="8">
        <v>2077560000</v>
      </c>
      <c r="AX14">
        <v>4900.57</v>
      </c>
      <c r="AY14" s="91">
        <f t="shared" si="59"/>
        <v>90415411.200000003</v>
      </c>
      <c r="AZ14" s="91">
        <f t="shared" si="60"/>
        <v>104235492.90811509</v>
      </c>
      <c r="BA14" s="8">
        <f t="shared" ref="BA14:BA18" si="66">SUM(AY14:AZ14)*0.000000000001</f>
        <v>1.9465090410811508E-4</v>
      </c>
      <c r="BB14" s="91">
        <f t="shared" si="61"/>
        <v>1.9679576145352205E-4</v>
      </c>
      <c r="BE14" t="s">
        <v>42</v>
      </c>
      <c r="BG14" t="s">
        <v>1</v>
      </c>
      <c r="BH14" s="16">
        <f>BH13-(AV20+AK13)</f>
        <v>1323496.0400000012</v>
      </c>
      <c r="BI14" s="8">
        <f>BI13-(AW20+AL13)</f>
        <v>23335498737.869999</v>
      </c>
      <c r="BJ14" s="2">
        <v>38.352499999999999</v>
      </c>
      <c r="BK14" s="91">
        <f t="shared" ref="BK14:BK16" si="67">BI14*BG$38</f>
        <v>1015560905.0721024</v>
      </c>
      <c r="BL14" s="91">
        <f t="shared" ref="BL14:BL16" si="68">BI14*BJ14*BG$37</f>
        <v>9162758.0363929998</v>
      </c>
      <c r="BM14" s="8">
        <f>SUM(BK14:BL14)*0.000000000001</f>
        <v>1.0247236631084954E-3</v>
      </c>
      <c r="BN14" s="91">
        <f t="shared" ref="BN14:BN16" si="69">BI14*BG$39*0.000000000001</f>
        <v>1.6194418548132095E-3</v>
      </c>
      <c r="BO14" s="8">
        <f>BN14-BM14</f>
        <v>5.9471819170471411E-4</v>
      </c>
      <c r="BP14" s="10"/>
      <c r="BR14" t="s">
        <v>4</v>
      </c>
      <c r="BS14" s="5">
        <f>243422.45</f>
        <v>243422.45</v>
      </c>
      <c r="BT14" s="14">
        <v>5566560000</v>
      </c>
      <c r="BU14">
        <v>1519.17</v>
      </c>
      <c r="BV14" s="91">
        <f>BT14*BR$36</f>
        <v>242256691.20000002</v>
      </c>
      <c r="BW14" s="91">
        <f>BT14*BU14*BR$35</f>
        <v>86578233.883544981</v>
      </c>
      <c r="BX14" s="91">
        <f>SUM(BV14:BW14)*0.000000000001</f>
        <v>3.2883492508354494E-4</v>
      </c>
      <c r="BY14" s="91">
        <f>BT14*BR$37*0.000000000001</f>
        <v>2.2390376845441245E-4</v>
      </c>
      <c r="BZ14" s="8"/>
      <c r="CA14" s="8"/>
      <c r="CC14" t="s">
        <v>16</v>
      </c>
      <c r="CD14">
        <v>88031.64</v>
      </c>
      <c r="CE14" s="8">
        <v>2077560000</v>
      </c>
      <c r="CF14">
        <v>4900.57</v>
      </c>
      <c r="CG14" s="8">
        <f t="shared" ref="CG14:CG18" si="70">CE14*$M$49</f>
        <v>90415411.200000003</v>
      </c>
      <c r="CH14" s="8">
        <f t="shared" ref="CH14:CH18" si="71">CE14*CF14*$M$48</f>
        <v>104235492.90811509</v>
      </c>
      <c r="CI14" s="8">
        <f t="shared" ref="CI14:CI18" si="72">SUM(CG14:CH14)*0.000000000001</f>
        <v>1.9465090410811508E-4</v>
      </c>
      <c r="CJ14" s="8">
        <f t="shared" ref="CJ14:CJ18" si="73">CE14*$M$50*0.000000000001</f>
        <v>2.0187973593850601E-4</v>
      </c>
      <c r="CM14" t="s">
        <v>42</v>
      </c>
      <c r="CO14" t="s">
        <v>1</v>
      </c>
      <c r="CP14" s="16">
        <f>CP13-(CD20+BS13)</f>
        <v>1323496.0400000012</v>
      </c>
      <c r="CQ14" s="8">
        <f>CQ13-(CE20+BT13)</f>
        <v>23335498737.869999</v>
      </c>
      <c r="CR14" s="2">
        <v>38.352499999999999</v>
      </c>
      <c r="CS14" s="91">
        <f t="shared" ref="CS14:CS16" si="74">CQ14*CO$38</f>
        <v>1015560905.0721024</v>
      </c>
      <c r="CT14" s="91">
        <f t="shared" ref="CT14:CT16" si="75">CQ14*CR14*CO$37</f>
        <v>9162758.0363929998</v>
      </c>
      <c r="CU14" s="91">
        <f t="shared" ref="CU14:CU16" si="76">SUM(CS14:CT14)*0.000000000001</f>
        <v>1.0247236631084954E-3</v>
      </c>
      <c r="CV14" s="91">
        <f t="shared" ref="CV14:CV16" si="77">CQ14*CO$39*0.000000000001</f>
        <v>2.2233434518102949E-3</v>
      </c>
      <c r="CW14" s="8">
        <f>CV14-CU14</f>
        <v>1.1986197887017996E-3</v>
      </c>
    </row>
    <row r="15" spans="1:101" ht="15" thickBot="1" x14ac:dyDescent="0.4">
      <c r="B15" t="s">
        <v>5</v>
      </c>
      <c r="C15">
        <f>4945.33</f>
        <v>4945.33</v>
      </c>
      <c r="D15" s="14">
        <v>15036000</v>
      </c>
      <c r="E15" s="2">
        <v>5203.3100000000004</v>
      </c>
      <c r="F15" s="8">
        <f>D15*$B$36</f>
        <v>654366.72000000009</v>
      </c>
      <c r="G15" s="8">
        <f>D15*E15*$B$35</f>
        <v>800990.69350596471</v>
      </c>
      <c r="H15" s="8">
        <f>SUM(F15:G15)*0.000000000001</f>
        <v>1.4553574135059648E-6</v>
      </c>
      <c r="I15" s="8">
        <f>D15*$B$37*0.000000000001</f>
        <v>4.6827492297726634E-7</v>
      </c>
      <c r="J15" s="8"/>
      <c r="K15" s="8"/>
      <c r="M15" t="s">
        <v>18</v>
      </c>
      <c r="N15">
        <v>77439.100000000006</v>
      </c>
      <c r="O15" s="8">
        <v>2009740000</v>
      </c>
      <c r="P15">
        <v>4511.93</v>
      </c>
      <c r="Q15" s="8">
        <f t="shared" si="62"/>
        <v>87463884.800000012</v>
      </c>
      <c r="R15" s="8">
        <f t="shared" si="63"/>
        <v>92836269.77446045</v>
      </c>
      <c r="S15" s="8">
        <f t="shared" si="64"/>
        <v>1.8030015457446045E-4</v>
      </c>
      <c r="T15" s="8">
        <f t="shared" si="65"/>
        <v>1.9528956107407394E-4</v>
      </c>
      <c r="W15" t="s">
        <v>47</v>
      </c>
      <c r="Y15" t="s">
        <v>1</v>
      </c>
      <c r="Z15" s="6">
        <v>1323496.0400000012</v>
      </c>
      <c r="AA15" s="13">
        <v>23335498737.869999</v>
      </c>
      <c r="AB15" s="2">
        <v>3240</v>
      </c>
      <c r="AC15" s="8">
        <f t="shared" ref="AC15:AC16" si="78">AA15*$Y$38</f>
        <v>1015560905.0721024</v>
      </c>
      <c r="AD15" s="8">
        <f t="shared" ref="AD15:AD16" si="79">AA15*AB15*$Y$37</f>
        <v>774065211.86137342</v>
      </c>
      <c r="AE15" s="8">
        <f t="shared" ref="AE15:AE16" si="80">SUM(AC15:AD15)*0.000000000001</f>
        <v>1.789626116933476E-3</v>
      </c>
      <c r="AF15" s="8">
        <f t="shared" ref="AF15:AF16" si="81">AA15*$Y$39*0.000000000001</f>
        <v>1.8782542363135748E-3</v>
      </c>
      <c r="AG15" s="8">
        <f t="shared" ref="AG15:AG16" si="82">AF15-AE15</f>
        <v>8.8628119380098789E-5</v>
      </c>
      <c r="AH15" s="10"/>
      <c r="AJ15" t="s">
        <v>5</v>
      </c>
      <c r="AK15">
        <f>4945.33</f>
        <v>4945.33</v>
      </c>
      <c r="AL15" s="14">
        <v>15036000</v>
      </c>
      <c r="AM15" s="2">
        <v>5203.3100000000004</v>
      </c>
      <c r="AN15" s="91">
        <f>AL15*AJ$36</f>
        <v>654366.72000000009</v>
      </c>
      <c r="AO15" s="91">
        <f>AL15*AM15*AJ$35</f>
        <v>800990.69350596471</v>
      </c>
      <c r="AP15" s="8">
        <f>SUM(AN15:AO15)*0.000000000001</f>
        <v>1.4553574135059648E-6</v>
      </c>
      <c r="AQ15" s="91">
        <f>AL15*AJ$37*0.000000000001</f>
        <v>4.2388239135589222E-7</v>
      </c>
      <c r="AR15" s="8"/>
      <c r="AS15" s="8"/>
      <c r="AU15" t="s">
        <v>18</v>
      </c>
      <c r="AV15">
        <v>77439.100000000006</v>
      </c>
      <c r="AW15" s="8">
        <v>2009740000</v>
      </c>
      <c r="AX15">
        <v>4511.93</v>
      </c>
      <c r="AY15" s="91">
        <f t="shared" si="59"/>
        <v>87463884.800000012</v>
      </c>
      <c r="AZ15" s="91">
        <f t="shared" si="60"/>
        <v>92836269.77446045</v>
      </c>
      <c r="BA15" s="8">
        <f t="shared" si="66"/>
        <v>1.8030015457446045E-4</v>
      </c>
      <c r="BB15" s="91">
        <f t="shared" si="61"/>
        <v>1.9037154817362745E-4</v>
      </c>
      <c r="BE15" t="s">
        <v>47</v>
      </c>
      <c r="BG15" t="s">
        <v>1</v>
      </c>
      <c r="BH15" s="6">
        <v>1323496.0400000012</v>
      </c>
      <c r="BI15" s="13">
        <v>23335498737.869999</v>
      </c>
      <c r="BJ15" s="2">
        <v>3240</v>
      </c>
      <c r="BK15" s="91">
        <f t="shared" si="67"/>
        <v>1015560905.0721024</v>
      </c>
      <c r="BL15" s="91">
        <f t="shared" si="68"/>
        <v>774065211.86137342</v>
      </c>
      <c r="BM15" s="8">
        <f t="shared" ref="BM15:BM16" si="83">SUM(BK15:BL15)*0.000000000001</f>
        <v>1.789626116933476E-3</v>
      </c>
      <c r="BN15" s="91">
        <f t="shared" si="69"/>
        <v>1.6194418548132095E-3</v>
      </c>
      <c r="BO15" s="8">
        <f t="shared" ref="BO15:BO16" si="84">BN15-BM15</f>
        <v>-1.7018426212026655E-4</v>
      </c>
      <c r="BP15" s="10"/>
      <c r="BR15" t="s">
        <v>5</v>
      </c>
      <c r="BS15">
        <f>4945.33</f>
        <v>4945.33</v>
      </c>
      <c r="BT15" s="14">
        <v>15036000</v>
      </c>
      <c r="BU15" s="2">
        <v>5203.3100000000004</v>
      </c>
      <c r="BV15" s="91">
        <f>BT15*BR$36</f>
        <v>654366.72000000009</v>
      </c>
      <c r="BW15" s="91">
        <f>BT15*BU15*BR$35</f>
        <v>800990.69350596471</v>
      </c>
      <c r="BX15" s="91">
        <f>SUM(BV15:BW15)*0.000000000001</f>
        <v>1.4553574135059648E-6</v>
      </c>
      <c r="BY15" s="91">
        <f>BT15*BR$37*0.000000000001</f>
        <v>6.0479309707980254E-7</v>
      </c>
      <c r="BZ15" s="8"/>
      <c r="CA15" s="8"/>
      <c r="CC15" t="s">
        <v>18</v>
      </c>
      <c r="CD15">
        <v>77439.100000000006</v>
      </c>
      <c r="CE15" s="8">
        <v>2009740000</v>
      </c>
      <c r="CF15">
        <v>4511.93</v>
      </c>
      <c r="CG15" s="8">
        <f t="shared" si="70"/>
        <v>87463884.800000012</v>
      </c>
      <c r="CH15" s="8">
        <f t="shared" si="71"/>
        <v>92836269.77446045</v>
      </c>
      <c r="CI15" s="8">
        <f t="shared" si="72"/>
        <v>1.8030015457446045E-4</v>
      </c>
      <c r="CJ15" s="8">
        <f t="shared" si="73"/>
        <v>1.9528956107407394E-4</v>
      </c>
      <c r="CM15" t="s">
        <v>47</v>
      </c>
      <c r="CO15" t="s">
        <v>1</v>
      </c>
      <c r="CP15" s="6">
        <v>1323496.0400000012</v>
      </c>
      <c r="CQ15" s="13">
        <v>23335498737.869999</v>
      </c>
      <c r="CR15" s="2">
        <v>3240</v>
      </c>
      <c r="CS15" s="91">
        <f t="shared" si="74"/>
        <v>1015560905.0721024</v>
      </c>
      <c r="CT15" s="91">
        <f t="shared" si="75"/>
        <v>774065211.86137342</v>
      </c>
      <c r="CU15" s="91">
        <f t="shared" si="76"/>
        <v>1.789626116933476E-3</v>
      </c>
      <c r="CV15" s="91">
        <f t="shared" si="77"/>
        <v>2.2233434518102949E-3</v>
      </c>
      <c r="CW15" s="8">
        <f t="shared" ref="CW15:CW16" si="85">CV15-CU15</f>
        <v>4.337173348768189E-4</v>
      </c>
    </row>
    <row r="16" spans="1:101" ht="15" thickBot="1" x14ac:dyDescent="0.4">
      <c r="B16" s="1" t="s">
        <v>27</v>
      </c>
      <c r="D16" s="8"/>
      <c r="F16" s="8">
        <f t="shared" ref="F16:G16" si="86">SUM(F14:F15)</f>
        <v>242911057.92000002</v>
      </c>
      <c r="G16" s="8">
        <f t="shared" si="86"/>
        <v>87379224.577050939</v>
      </c>
      <c r="H16" s="8">
        <f>SUM(H14:H15)</f>
        <v>3.3029028249705088E-4</v>
      </c>
      <c r="I16" s="8">
        <f>SUM(I14:I15)</f>
        <v>1.7383090163542285E-4</v>
      </c>
      <c r="J16" s="8">
        <f>I16-H16</f>
        <v>-1.5645938086162803E-4</v>
      </c>
      <c r="K16" s="8"/>
      <c r="M16" t="s">
        <v>19</v>
      </c>
      <c r="N16">
        <v>12231.81</v>
      </c>
      <c r="O16" s="8">
        <v>345305000</v>
      </c>
      <c r="P16">
        <v>13389.8</v>
      </c>
      <c r="Q16" s="8">
        <f t="shared" si="62"/>
        <v>15027673.600000001</v>
      </c>
      <c r="R16" s="8">
        <f t="shared" si="63"/>
        <v>47336092.983563356</v>
      </c>
      <c r="S16" s="8">
        <f t="shared" si="64"/>
        <v>6.236376658356335E-5</v>
      </c>
      <c r="T16" s="8">
        <f t="shared" si="65"/>
        <v>3.3553823821331664E-5</v>
      </c>
      <c r="W16" t="s">
        <v>43</v>
      </c>
      <c r="Y16" t="s">
        <v>1</v>
      </c>
      <c r="Z16">
        <v>1323496.0400000012</v>
      </c>
      <c r="AA16">
        <v>23335498737.869999</v>
      </c>
      <c r="AB16">
        <v>19095.3</v>
      </c>
      <c r="AC16" s="8">
        <f t="shared" si="78"/>
        <v>1015560905.0721024</v>
      </c>
      <c r="AD16" s="8">
        <f t="shared" si="79"/>
        <v>4562039333.3507662</v>
      </c>
      <c r="AE16" s="8">
        <f t="shared" si="80"/>
        <v>5.5776002384228685E-3</v>
      </c>
      <c r="AF16" s="8">
        <f t="shared" si="81"/>
        <v>1.8782542363135748E-3</v>
      </c>
      <c r="AG16" s="8">
        <f t="shared" si="82"/>
        <v>-3.6993460021092937E-3</v>
      </c>
      <c r="AH16" s="10"/>
      <c r="AJ16" s="1" t="s">
        <v>27</v>
      </c>
      <c r="AL16" s="8"/>
      <c r="AN16" s="8">
        <f t="shared" ref="AN16" si="87">SUM(AN14:AN15)</f>
        <v>242911057.92000002</v>
      </c>
      <c r="AO16" s="8">
        <f t="shared" ref="AO16" si="88">SUM(AO14:AO15)</f>
        <v>87379224.577050939</v>
      </c>
      <c r="AP16" s="8">
        <f>SUM(AP14:AP15)</f>
        <v>3.3029028249705088E-4</v>
      </c>
      <c r="AQ16" s="8">
        <f>SUM(AQ14:AQ15)</f>
        <v>1.5735170657505204E-4</v>
      </c>
      <c r="AR16" s="8">
        <f>AQ16-AP16</f>
        <v>-1.7293857592199884E-4</v>
      </c>
      <c r="AS16" s="8"/>
      <c r="AU16" t="s">
        <v>19</v>
      </c>
      <c r="AV16">
        <v>12231.81</v>
      </c>
      <c r="AW16" s="8">
        <v>345305000</v>
      </c>
      <c r="AX16">
        <v>13389.8</v>
      </c>
      <c r="AY16" s="91">
        <f t="shared" si="59"/>
        <v>15027673.600000001</v>
      </c>
      <c r="AZ16" s="91">
        <f t="shared" si="60"/>
        <v>47336092.983563356</v>
      </c>
      <c r="BA16" s="8">
        <f t="shared" si="66"/>
        <v>6.236376658356335E-5</v>
      </c>
      <c r="BB16" s="91">
        <f t="shared" si="61"/>
        <v>3.2708831710616508E-5</v>
      </c>
      <c r="BE16" t="s">
        <v>43</v>
      </c>
      <c r="BG16" t="s">
        <v>1</v>
      </c>
      <c r="BH16">
        <v>1323496.0400000012</v>
      </c>
      <c r="BI16">
        <v>23335498737.869999</v>
      </c>
      <c r="BJ16">
        <v>19095.3</v>
      </c>
      <c r="BK16" s="91">
        <f t="shared" si="67"/>
        <v>1015560905.0721024</v>
      </c>
      <c r="BL16" s="91">
        <f t="shared" si="68"/>
        <v>4562039333.3507662</v>
      </c>
      <c r="BM16" s="8">
        <f t="shared" si="83"/>
        <v>5.5776002384228685E-3</v>
      </c>
      <c r="BN16" s="91">
        <f t="shared" si="69"/>
        <v>1.6194418548132095E-3</v>
      </c>
      <c r="BO16" s="8">
        <f t="shared" si="84"/>
        <v>-3.9581583836096595E-3</v>
      </c>
      <c r="BP16" s="10"/>
      <c r="BR16" s="1" t="s">
        <v>27</v>
      </c>
      <c r="BT16" s="8"/>
      <c r="BV16" s="8">
        <f t="shared" ref="BV16" si="89">SUM(BV14:BV15)</f>
        <v>242911057.92000002</v>
      </c>
      <c r="BW16" s="8">
        <f t="shared" ref="BW16" si="90">SUM(BW14:BW15)</f>
        <v>87379224.577050939</v>
      </c>
      <c r="BX16" s="8">
        <f>SUM(BX14:BX15)</f>
        <v>3.3029028249705088E-4</v>
      </c>
      <c r="BY16" s="8">
        <f>SUM(BY14:BY15)</f>
        <v>2.2450856155149226E-4</v>
      </c>
      <c r="BZ16" s="8">
        <f>BY16-BX16</f>
        <v>-1.0578172094555862E-4</v>
      </c>
      <c r="CA16" s="8"/>
      <c r="CC16" t="s">
        <v>19</v>
      </c>
      <c r="CD16">
        <v>12231.81</v>
      </c>
      <c r="CE16" s="8">
        <v>345305000</v>
      </c>
      <c r="CF16">
        <v>13389.8</v>
      </c>
      <c r="CG16" s="8">
        <f t="shared" si="70"/>
        <v>15027673.600000001</v>
      </c>
      <c r="CH16" s="8">
        <f t="shared" si="71"/>
        <v>47336092.983563356</v>
      </c>
      <c r="CI16" s="8">
        <f t="shared" si="72"/>
        <v>6.236376658356335E-5</v>
      </c>
      <c r="CJ16" s="8">
        <f t="shared" si="73"/>
        <v>3.3553823821331664E-5</v>
      </c>
      <c r="CM16" t="s">
        <v>43</v>
      </c>
      <c r="CO16" t="s">
        <v>1</v>
      </c>
      <c r="CP16">
        <v>1323496.0400000012</v>
      </c>
      <c r="CQ16">
        <v>23335498737.869999</v>
      </c>
      <c r="CR16">
        <v>19095.3</v>
      </c>
      <c r="CS16" s="91">
        <f t="shared" si="74"/>
        <v>1015560905.0721024</v>
      </c>
      <c r="CT16" s="91">
        <f t="shared" si="75"/>
        <v>4562039333.3507662</v>
      </c>
      <c r="CU16" s="91">
        <f t="shared" si="76"/>
        <v>5.5776002384228685E-3</v>
      </c>
      <c r="CV16" s="91">
        <f t="shared" si="77"/>
        <v>2.2233434518102949E-3</v>
      </c>
      <c r="CW16" s="8">
        <f t="shared" si="85"/>
        <v>-3.3542567866125736E-3</v>
      </c>
    </row>
    <row r="17" spans="1:101" ht="15" thickBot="1" x14ac:dyDescent="0.4">
      <c r="A17">
        <v>2021</v>
      </c>
      <c r="B17" t="s">
        <v>3</v>
      </c>
      <c r="C17">
        <f>226272.11</f>
        <v>226272.11</v>
      </c>
      <c r="D17" s="15">
        <v>5128620000</v>
      </c>
      <c r="E17" s="7"/>
      <c r="M17" t="s">
        <v>20</v>
      </c>
      <c r="N17">
        <v>7112.1</v>
      </c>
      <c r="O17" s="8">
        <v>192285000</v>
      </c>
      <c r="P17">
        <v>13090.6</v>
      </c>
      <c r="Q17" s="8">
        <f t="shared" si="62"/>
        <v>8368243.2000000002</v>
      </c>
      <c r="R17" s="8">
        <f t="shared" si="63"/>
        <v>25770355.611289624</v>
      </c>
      <c r="S17" s="8">
        <f t="shared" si="64"/>
        <v>3.413859881128962E-5</v>
      </c>
      <c r="T17" s="8">
        <f t="shared" si="65"/>
        <v>1.8684632465457376E-5</v>
      </c>
      <c r="X17">
        <v>2021</v>
      </c>
      <c r="Y17" t="s">
        <v>24</v>
      </c>
      <c r="Z17">
        <v>1633248.1799999992</v>
      </c>
      <c r="AA17" s="8">
        <v>36303333793.879997</v>
      </c>
      <c r="AI17">
        <v>2021</v>
      </c>
      <c r="AJ17" t="s">
        <v>3</v>
      </c>
      <c r="AK17">
        <f>226272.11</f>
        <v>226272.11</v>
      </c>
      <c r="AL17" s="15">
        <v>5128620000</v>
      </c>
      <c r="AM17" s="7"/>
      <c r="AU17" t="s">
        <v>20</v>
      </c>
      <c r="AV17">
        <v>7112.1</v>
      </c>
      <c r="AW17" s="8">
        <v>192285000</v>
      </c>
      <c r="AX17">
        <v>13090.6</v>
      </c>
      <c r="AY17" s="91">
        <f t="shared" si="59"/>
        <v>8368243.2000000002</v>
      </c>
      <c r="AZ17" s="91">
        <f t="shared" si="60"/>
        <v>25770355.611289624</v>
      </c>
      <c r="BA17" s="8">
        <f t="shared" si="66"/>
        <v>3.413859881128962E-5</v>
      </c>
      <c r="BB17" s="91">
        <f t="shared" si="61"/>
        <v>1.8214093932830093E-5</v>
      </c>
      <c r="BF17">
        <v>2021</v>
      </c>
      <c r="BG17" t="s">
        <v>24</v>
      </c>
      <c r="BH17">
        <v>1633248.1799999992</v>
      </c>
      <c r="BI17" s="8">
        <v>36303333793.879997</v>
      </c>
      <c r="BQ17">
        <v>2021</v>
      </c>
      <c r="BR17" t="s">
        <v>3</v>
      </c>
      <c r="BS17">
        <f>226272.11</f>
        <v>226272.11</v>
      </c>
      <c r="BT17" s="15">
        <v>5128620000</v>
      </c>
      <c r="BU17" s="7"/>
      <c r="CC17" t="s">
        <v>20</v>
      </c>
      <c r="CD17">
        <v>7112.1</v>
      </c>
      <c r="CE17" s="8">
        <v>192285000</v>
      </c>
      <c r="CF17">
        <v>13090.6</v>
      </c>
      <c r="CG17" s="8">
        <f t="shared" si="70"/>
        <v>8368243.2000000002</v>
      </c>
      <c r="CH17" s="8">
        <f t="shared" si="71"/>
        <v>25770355.611289624</v>
      </c>
      <c r="CI17" s="8">
        <f t="shared" si="72"/>
        <v>3.413859881128962E-5</v>
      </c>
      <c r="CJ17" s="8">
        <f t="shared" si="73"/>
        <v>1.8684632465457376E-5</v>
      </c>
      <c r="CN17">
        <v>2021</v>
      </c>
      <c r="CO17" t="s">
        <v>24</v>
      </c>
      <c r="CP17">
        <v>1633248.1799999992</v>
      </c>
      <c r="CQ17" s="8">
        <v>36303333793.879997</v>
      </c>
    </row>
    <row r="18" spans="1:101" ht="15" thickBot="1" x14ac:dyDescent="0.4">
      <c r="B18" t="s">
        <v>4</v>
      </c>
      <c r="C18">
        <f>218613.3</f>
        <v>218613.3</v>
      </c>
      <c r="D18" s="13">
        <v>5104520000</v>
      </c>
      <c r="E18">
        <v>1519.17</v>
      </c>
      <c r="F18" s="8">
        <f>D18*$B$36</f>
        <v>222148710.40000001</v>
      </c>
      <c r="G18" s="8">
        <f>D18*E18*$B$35</f>
        <v>79391999.084395573</v>
      </c>
      <c r="H18" s="8">
        <f>SUM(F18:G18)*0.000000000001</f>
        <v>3.0154070948439554E-4</v>
      </c>
      <c r="I18" s="8">
        <f>D18*$B$37*0.000000000001</f>
        <v>1.5897304534689515E-4</v>
      </c>
      <c r="J18" s="8"/>
      <c r="K18" s="8"/>
      <c r="M18" t="s">
        <v>21</v>
      </c>
      <c r="N18">
        <v>3612.73</v>
      </c>
      <c r="O18" s="8">
        <v>65024000</v>
      </c>
      <c r="P18">
        <v>2839.27</v>
      </c>
      <c r="Q18" s="8">
        <f t="shared" si="62"/>
        <v>2829844.48</v>
      </c>
      <c r="R18" s="8">
        <f t="shared" si="63"/>
        <v>1890148.0731274616</v>
      </c>
      <c r="S18" s="8">
        <f t="shared" si="64"/>
        <v>4.7199925531274616E-6</v>
      </c>
      <c r="T18" s="8">
        <f t="shared" si="65"/>
        <v>6.3184831964734662E-6</v>
      </c>
      <c r="W18" t="s">
        <v>42</v>
      </c>
      <c r="Y18" t="s">
        <v>1</v>
      </c>
      <c r="Z18">
        <f>Z17-(N27+C17)</f>
        <v>1236115.5799999991</v>
      </c>
      <c r="AA18" s="8">
        <f>AA17-(O27+D17)</f>
        <v>27719993793.879997</v>
      </c>
      <c r="AB18" s="2">
        <v>38.352499999999999</v>
      </c>
      <c r="AC18" s="8">
        <f>AA18*$Y$38</f>
        <v>1206374129.9096575</v>
      </c>
      <c r="AD18" s="8">
        <f>AA18*AB18*$Y$37</f>
        <v>10884344.009817453</v>
      </c>
      <c r="AE18" s="8">
        <f>SUM(AC18:AD18)*0.000000000001</f>
        <v>1.2172584739194748E-3</v>
      </c>
      <c r="AF18" s="8">
        <f>AA18*$Y$39*0.000000000001</f>
        <v>2.2311584748538984E-3</v>
      </c>
      <c r="AG18" s="8">
        <f>AF18-AE18</f>
        <v>1.0139000009344236E-3</v>
      </c>
      <c r="AH18" s="10"/>
      <c r="AJ18" t="s">
        <v>4</v>
      </c>
      <c r="AK18">
        <f>218613.3</f>
        <v>218613.3</v>
      </c>
      <c r="AL18" s="13">
        <v>5104520000</v>
      </c>
      <c r="AM18">
        <v>1519.17</v>
      </c>
      <c r="AN18" s="91">
        <f>AL18*AJ$36</f>
        <v>222148710.40000001</v>
      </c>
      <c r="AO18" s="91">
        <f>AL18*AM18*AJ$35</f>
        <v>79391999.084395573</v>
      </c>
      <c r="AP18" s="8">
        <f>SUM(AN18:AO18)*0.000000000001</f>
        <v>3.0154070948439554E-4</v>
      </c>
      <c r="AQ18" s="91">
        <f>AL18*AJ$37*0.000000000001</f>
        <v>1.4390237724953305E-4</v>
      </c>
      <c r="AR18" s="8"/>
      <c r="AS18" s="8"/>
      <c r="AU18" t="s">
        <v>21</v>
      </c>
      <c r="AV18">
        <v>3612.73</v>
      </c>
      <c r="AW18" s="8">
        <v>65024000</v>
      </c>
      <c r="AX18">
        <v>2839.27</v>
      </c>
      <c r="AY18" s="91">
        <f t="shared" si="59"/>
        <v>2829844.48</v>
      </c>
      <c r="AZ18" s="91">
        <f t="shared" si="60"/>
        <v>1890148.0731274616</v>
      </c>
      <c r="BA18" s="8">
        <f t="shared" si="66"/>
        <v>4.7199925531274616E-6</v>
      </c>
      <c r="BB18" s="91">
        <f t="shared" si="61"/>
        <v>6.1593636731328178E-6</v>
      </c>
      <c r="BE18" t="s">
        <v>42</v>
      </c>
      <c r="BG18" t="s">
        <v>1</v>
      </c>
      <c r="BH18">
        <f>BH17-(AV27+AK17)</f>
        <v>1236115.5799999991</v>
      </c>
      <c r="BI18" s="8">
        <f>BI17-(AW27+AL17)</f>
        <v>27719993793.879997</v>
      </c>
      <c r="BJ18" s="2">
        <v>38.352499999999999</v>
      </c>
      <c r="BK18" s="91">
        <f t="shared" ref="BK18:BK20" si="91">BI18*BG$38</f>
        <v>1206374129.9096575</v>
      </c>
      <c r="BL18" s="91">
        <f t="shared" ref="BL18:BL20" si="92">BI18*BJ18*BG$37</f>
        <v>10884344.009817453</v>
      </c>
      <c r="BM18" s="8">
        <f>SUM(BK18:BL18)*0.000000000001</f>
        <v>1.2172584739194748E-3</v>
      </c>
      <c r="BN18" s="91">
        <f t="shared" ref="BN18:BN20" si="93">BI18*BG$39*0.000000000001</f>
        <v>1.9237179658869036E-3</v>
      </c>
      <c r="BO18" s="8">
        <f>BN18-BM18</f>
        <v>7.0645949196742881E-4</v>
      </c>
      <c r="BP18" s="10"/>
      <c r="BR18" t="s">
        <v>4</v>
      </c>
      <c r="BS18">
        <f>218613.3</f>
        <v>218613.3</v>
      </c>
      <c r="BT18" s="13">
        <v>5104520000</v>
      </c>
      <c r="BU18">
        <v>1519.17</v>
      </c>
      <c r="BV18" s="91">
        <f>BT18*BR$36</f>
        <v>222148710.40000001</v>
      </c>
      <c r="BW18" s="91">
        <f>BT18*BU18*BR$35</f>
        <v>79391999.084395573</v>
      </c>
      <c r="BX18" s="91">
        <f>SUM(BV18:BW18)*0.000000000001</f>
        <v>3.0154070948439554E-4</v>
      </c>
      <c r="BY18" s="91">
        <f>BT18*BR$37*0.000000000001</f>
        <v>2.0531913141166489E-4</v>
      </c>
      <c r="BZ18" s="8"/>
      <c r="CA18" s="8"/>
      <c r="CC18" t="s">
        <v>21</v>
      </c>
      <c r="CD18">
        <v>3612.73</v>
      </c>
      <c r="CE18" s="8">
        <v>65024000</v>
      </c>
      <c r="CF18">
        <v>2839.27</v>
      </c>
      <c r="CG18" s="8">
        <f t="shared" si="70"/>
        <v>2829844.48</v>
      </c>
      <c r="CH18" s="8">
        <f t="shared" si="71"/>
        <v>1890148.0731274616</v>
      </c>
      <c r="CI18" s="8">
        <f t="shared" si="72"/>
        <v>4.7199925531274616E-6</v>
      </c>
      <c r="CJ18" s="8">
        <f t="shared" si="73"/>
        <v>6.3184831964734662E-6</v>
      </c>
      <c r="CM18" t="s">
        <v>42</v>
      </c>
      <c r="CO18" t="s">
        <v>1</v>
      </c>
      <c r="CP18">
        <f>CP17-(CD27+BS17)</f>
        <v>1236115.5799999991</v>
      </c>
      <c r="CQ18" s="8">
        <f>CQ17-(CE27+BT17)</f>
        <v>27719993793.879997</v>
      </c>
      <c r="CR18" s="2">
        <v>38.352499999999999</v>
      </c>
      <c r="CS18" s="91">
        <f t="shared" ref="CS18:CS20" si="94">CQ18*CO$38</f>
        <v>1206374129.9096575</v>
      </c>
      <c r="CT18" s="91">
        <f t="shared" ref="CT18:CT20" si="95">CQ18*CR18*CO$37</f>
        <v>10884344.009817453</v>
      </c>
      <c r="CU18" s="91">
        <f t="shared" ref="CU18:CU20" si="96">SUM(CS18:CT18)*0.000000000001</f>
        <v>1.2172584739194748E-3</v>
      </c>
      <c r="CV18" s="91">
        <f t="shared" ref="CV18:CV20" si="97">CQ18*CO$39*0.000000000001</f>
        <v>2.641086328522611E-3</v>
      </c>
      <c r="CW18" s="8">
        <f>CV18-CU18</f>
        <v>1.4238278546031362E-3</v>
      </c>
    </row>
    <row r="19" spans="1:101" ht="15" thickBot="1" x14ac:dyDescent="0.4">
      <c r="B19" t="s">
        <v>5</v>
      </c>
      <c r="C19">
        <f>5266.43</f>
        <v>5266.43</v>
      </c>
      <c r="D19" s="15">
        <v>11223000</v>
      </c>
      <c r="E19" s="2">
        <v>5203.3100000000004</v>
      </c>
      <c r="F19" s="8">
        <f>D19*$B$36</f>
        <v>488424.96000000002</v>
      </c>
      <c r="G19" s="8">
        <f>D19*E19*$B$35</f>
        <v>597866.35762286792</v>
      </c>
      <c r="H19" s="8">
        <f>SUM(F19:G19)*0.000000000001</f>
        <v>1.0862913176228678E-6</v>
      </c>
      <c r="I19" s="8">
        <f>D19*$B$37*0.000000000001</f>
        <v>3.4952443871866593E-7</v>
      </c>
      <c r="J19" s="8"/>
      <c r="K19" s="8"/>
      <c r="M19" s="1" t="s">
        <v>27</v>
      </c>
      <c r="Q19" s="8">
        <f>SUM(Q13:Q18)</f>
        <v>280700692.48000002</v>
      </c>
      <c r="R19" s="8">
        <f t="shared" ref="R19:T19" si="98">SUM(R13:R18)</f>
        <v>452706991.85523587</v>
      </c>
      <c r="S19" s="8">
        <f t="shared" si="98"/>
        <v>7.3340768433523588E-4</v>
      </c>
      <c r="T19" s="8">
        <f t="shared" si="98"/>
        <v>6.2674914512381467E-4</v>
      </c>
      <c r="U19" s="8">
        <f>T19-S19</f>
        <v>-1.0665853921142121E-4</v>
      </c>
      <c r="V19" s="8"/>
      <c r="W19" t="s">
        <v>47</v>
      </c>
      <c r="Y19" t="s">
        <v>1</v>
      </c>
      <c r="Z19">
        <v>1236115.5799999991</v>
      </c>
      <c r="AA19" s="8">
        <v>27719993793.879997</v>
      </c>
      <c r="AB19" s="2">
        <v>3240</v>
      </c>
      <c r="AC19" s="8">
        <f t="shared" ref="AC19:AC20" si="99">AA19*$Y$38</f>
        <v>1206374129.9096575</v>
      </c>
      <c r="AD19" s="8">
        <f t="shared" ref="AD19:AD20" si="100">AA19*AB19*$Y$37</f>
        <v>919503933.03718257</v>
      </c>
      <c r="AE19" s="8">
        <f t="shared" ref="AE19:AE20" si="101">SUM(AC19:AD19)*0.000000000001</f>
        <v>2.1258780629468399E-3</v>
      </c>
      <c r="AF19" s="8">
        <f t="shared" ref="AF19:AF20" si="102">AA19*$Y$39*0.000000000001</f>
        <v>2.2311584748538984E-3</v>
      </c>
      <c r="AG19" s="8">
        <f t="shared" ref="AG19:AG20" si="103">AF19-AE19</f>
        <v>1.0528041190705851E-4</v>
      </c>
      <c r="AH19" s="10"/>
      <c r="AJ19" t="s">
        <v>5</v>
      </c>
      <c r="AK19">
        <f>5266.43</f>
        <v>5266.43</v>
      </c>
      <c r="AL19" s="15">
        <v>11223000</v>
      </c>
      <c r="AM19" s="2">
        <v>5203.3100000000004</v>
      </c>
      <c r="AN19" s="91">
        <f>AL19*AJ$36</f>
        <v>488424.96000000002</v>
      </c>
      <c r="AO19" s="91">
        <f>AL19*AM19*AJ$35</f>
        <v>597866.35762286792</v>
      </c>
      <c r="AP19" s="8">
        <f>SUM(AN19:AO19)*0.000000000001</f>
        <v>1.0862913176228678E-6</v>
      </c>
      <c r="AQ19" s="91">
        <f>AL19*AJ$37*0.000000000001</f>
        <v>3.1638947048331861E-7</v>
      </c>
      <c r="AR19" s="8"/>
      <c r="AS19" s="8"/>
      <c r="AU19" s="1" t="s">
        <v>27</v>
      </c>
      <c r="AY19" s="8">
        <f>SUM(AY13:AY18)</f>
        <v>280700692.48000002</v>
      </c>
      <c r="AZ19" s="8">
        <f t="shared" ref="AZ19" si="104">SUM(AZ13:AZ18)</f>
        <v>452706991.85523587</v>
      </c>
      <c r="BA19" s="8">
        <f t="shared" ref="BA19" si="105">SUM(BA13:BA18)</f>
        <v>7.3340768433523588E-4</v>
      </c>
      <c r="BB19" s="8">
        <f t="shared" ref="BB19" si="106">SUM(BB13:BB18)</f>
        <v>6.109656062387352E-4</v>
      </c>
      <c r="BC19" s="8">
        <f>BB19-BA19</f>
        <v>-1.2244207809650068E-4</v>
      </c>
      <c r="BD19" s="8"/>
      <c r="BE19" t="s">
        <v>47</v>
      </c>
      <c r="BG19" t="s">
        <v>1</v>
      </c>
      <c r="BH19">
        <v>1236115.5799999991</v>
      </c>
      <c r="BI19" s="8">
        <v>27719993793.879997</v>
      </c>
      <c r="BJ19" s="2">
        <v>3240</v>
      </c>
      <c r="BK19" s="91">
        <f t="shared" si="91"/>
        <v>1206374129.9096575</v>
      </c>
      <c r="BL19" s="91">
        <f t="shared" si="92"/>
        <v>919503933.03718257</v>
      </c>
      <c r="BM19" s="8">
        <f t="shared" ref="BM19:BM20" si="107">SUM(BK19:BL19)*0.000000000001</f>
        <v>2.1258780629468399E-3</v>
      </c>
      <c r="BN19" s="91">
        <f t="shared" si="93"/>
        <v>1.9237179658869036E-3</v>
      </c>
      <c r="BO19" s="8">
        <f t="shared" ref="BO19:BO20" si="108">BN19-BM19</f>
        <v>-2.0216009705993632E-4</v>
      </c>
      <c r="BP19" s="10"/>
      <c r="BR19" t="s">
        <v>5</v>
      </c>
      <c r="BS19">
        <f>5266.43</f>
        <v>5266.43</v>
      </c>
      <c r="BT19" s="15">
        <v>11223000</v>
      </c>
      <c r="BU19" s="2">
        <v>5203.3100000000004</v>
      </c>
      <c r="BV19" s="91">
        <f>BT19*BR$36</f>
        <v>488424.96000000002</v>
      </c>
      <c r="BW19" s="91">
        <f>BT19*BU19*BR$35</f>
        <v>597866.35762286792</v>
      </c>
      <c r="BX19" s="91">
        <f>SUM(BV19:BW19)*0.000000000001</f>
        <v>1.0862913176228678E-6</v>
      </c>
      <c r="BY19" s="91">
        <f>BT19*BR$37*0.000000000001</f>
        <v>4.5142278056176001E-7</v>
      </c>
      <c r="BZ19" s="8"/>
      <c r="CA19" s="8"/>
      <c r="CC19" s="1" t="s">
        <v>27</v>
      </c>
      <c r="CG19" s="8">
        <f>SUM(CG13:CG18)</f>
        <v>280700692.48000002</v>
      </c>
      <c r="CH19" s="8">
        <f t="shared" ref="CH19" si="109">SUM(CH13:CH18)</f>
        <v>452706991.85523587</v>
      </c>
      <c r="CI19" s="8">
        <f t="shared" ref="CI19" si="110">SUM(CI13:CI18)</f>
        <v>7.3340768433523588E-4</v>
      </c>
      <c r="CJ19" s="8">
        <f t="shared" ref="CJ19" si="111">SUM(CJ13:CJ18)</f>
        <v>6.2674914512381467E-4</v>
      </c>
      <c r="CK19" s="8">
        <f>CJ19-CI19</f>
        <v>-1.0665853921142121E-4</v>
      </c>
      <c r="CL19" s="8"/>
      <c r="CM19" t="s">
        <v>47</v>
      </c>
      <c r="CO19" t="s">
        <v>1</v>
      </c>
      <c r="CP19">
        <v>1236115.5799999991</v>
      </c>
      <c r="CQ19" s="8">
        <v>27719993793.879997</v>
      </c>
      <c r="CR19" s="2">
        <v>3240</v>
      </c>
      <c r="CS19" s="91">
        <f t="shared" si="94"/>
        <v>1206374129.9096575</v>
      </c>
      <c r="CT19" s="91">
        <f t="shared" si="95"/>
        <v>919503933.03718257</v>
      </c>
      <c r="CU19" s="91">
        <f t="shared" si="96"/>
        <v>2.1258780629468399E-3</v>
      </c>
      <c r="CV19" s="91">
        <f t="shared" si="97"/>
        <v>2.641086328522611E-3</v>
      </c>
      <c r="CW19" s="8">
        <f t="shared" ref="CW19:CW20" si="112">CV19-CU19</f>
        <v>5.1520826557577108E-4</v>
      </c>
    </row>
    <row r="20" spans="1:101" x14ac:dyDescent="0.35">
      <c r="B20" s="1" t="s">
        <v>27</v>
      </c>
      <c r="D20" s="8"/>
      <c r="F20" s="8">
        <f t="shared" ref="F20:G20" si="113">SUM(F18:F19)</f>
        <v>222637135.36000001</v>
      </c>
      <c r="G20" s="8">
        <f t="shared" si="113"/>
        <v>79989865.442018434</v>
      </c>
      <c r="H20" s="8">
        <f>SUM(H18:H19)</f>
        <v>3.0262700080201842E-4</v>
      </c>
      <c r="I20" s="8">
        <f>SUM(I18:I19)</f>
        <v>1.5932256978561381E-4</v>
      </c>
      <c r="J20" s="8">
        <f>I20-H20</f>
        <v>-1.4330443101640461E-4</v>
      </c>
      <c r="K20" s="8"/>
      <c r="L20">
        <v>2022</v>
      </c>
      <c r="M20" t="s">
        <v>22</v>
      </c>
      <c r="N20">
        <v>208086.27</v>
      </c>
      <c r="O20" s="8">
        <v>3861400000</v>
      </c>
      <c r="W20" t="s">
        <v>43</v>
      </c>
      <c r="Y20" t="s">
        <v>1</v>
      </c>
      <c r="Z20">
        <v>1236115.5799999991</v>
      </c>
      <c r="AA20">
        <v>27719993793.879997</v>
      </c>
      <c r="AB20">
        <v>19095.3</v>
      </c>
      <c r="AC20" s="8">
        <f t="shared" si="99"/>
        <v>1206374129.9096575</v>
      </c>
      <c r="AD20" s="8">
        <f t="shared" si="100"/>
        <v>5419198596.4583063</v>
      </c>
      <c r="AE20" s="8">
        <f t="shared" si="101"/>
        <v>6.6255727263679638E-3</v>
      </c>
      <c r="AF20" s="8">
        <f t="shared" si="102"/>
        <v>2.2311584748538984E-3</v>
      </c>
      <c r="AG20" s="8">
        <f t="shared" si="103"/>
        <v>-4.3944142515140658E-3</v>
      </c>
      <c r="AH20" s="10"/>
      <c r="AJ20" s="1" t="s">
        <v>27</v>
      </c>
      <c r="AL20" s="8"/>
      <c r="AN20" s="8">
        <f t="shared" ref="AN20" si="114">SUM(AN18:AN19)</f>
        <v>222637135.36000001</v>
      </c>
      <c r="AO20" s="8">
        <f t="shared" ref="AO20" si="115">SUM(AO18:AO19)</f>
        <v>79989865.442018434</v>
      </c>
      <c r="AP20" s="8">
        <f>SUM(AP18:AP19)</f>
        <v>3.0262700080201842E-4</v>
      </c>
      <c r="AQ20" s="8">
        <f>SUM(AQ18:AQ19)</f>
        <v>1.4421876672001638E-4</v>
      </c>
      <c r="AR20" s="8">
        <f>AQ20-AP20</f>
        <v>-1.5840823408200204E-4</v>
      </c>
      <c r="AS20" s="8"/>
      <c r="AT20">
        <v>2022</v>
      </c>
      <c r="AU20" t="s">
        <v>22</v>
      </c>
      <c r="AV20">
        <v>208086.27</v>
      </c>
      <c r="AW20" s="8">
        <v>3861400000</v>
      </c>
      <c r="BE20" t="s">
        <v>43</v>
      </c>
      <c r="BG20" t="s">
        <v>1</v>
      </c>
      <c r="BH20">
        <v>1236115.5799999991</v>
      </c>
      <c r="BI20">
        <v>27719993793.879997</v>
      </c>
      <c r="BJ20">
        <v>19095.3</v>
      </c>
      <c r="BK20" s="91">
        <f t="shared" si="91"/>
        <v>1206374129.9096575</v>
      </c>
      <c r="BL20" s="91">
        <f t="shared" si="92"/>
        <v>5419198596.4583063</v>
      </c>
      <c r="BM20" s="8">
        <f t="shared" si="107"/>
        <v>6.6255727263679638E-3</v>
      </c>
      <c r="BN20" s="91">
        <f t="shared" si="93"/>
        <v>1.9237179658869036E-3</v>
      </c>
      <c r="BO20" s="8">
        <f t="shared" si="108"/>
        <v>-4.7018547604810602E-3</v>
      </c>
      <c r="BP20" s="10"/>
      <c r="BR20" s="1" t="s">
        <v>27</v>
      </c>
      <c r="BT20" s="8"/>
      <c r="BV20" s="8">
        <f t="shared" ref="BV20" si="116">SUM(BV18:BV19)</f>
        <v>222637135.36000001</v>
      </c>
      <c r="BW20" s="8">
        <f t="shared" ref="BW20" si="117">SUM(BW18:BW19)</f>
        <v>79989865.442018434</v>
      </c>
      <c r="BX20" s="8">
        <f>SUM(BX18:BX19)</f>
        <v>3.0262700080201842E-4</v>
      </c>
      <c r="BY20" s="8">
        <f>SUM(BY18:BY19)</f>
        <v>2.0577055419222665E-4</v>
      </c>
      <c r="BZ20" s="8">
        <f>BY20-BX20</f>
        <v>-9.6856446609791774E-5</v>
      </c>
      <c r="CA20" s="8"/>
      <c r="CB20">
        <v>2022</v>
      </c>
      <c r="CC20" t="s">
        <v>22</v>
      </c>
      <c r="CD20">
        <v>208086.27</v>
      </c>
      <c r="CE20" s="8">
        <v>3861400000</v>
      </c>
      <c r="CM20" t="s">
        <v>43</v>
      </c>
      <c r="CO20" t="s">
        <v>1</v>
      </c>
      <c r="CP20">
        <v>1236115.5799999991</v>
      </c>
      <c r="CQ20">
        <v>27719993793.879997</v>
      </c>
      <c r="CR20">
        <v>19095.3</v>
      </c>
      <c r="CS20" s="91">
        <f t="shared" si="94"/>
        <v>1206374129.9096575</v>
      </c>
      <c r="CT20" s="91">
        <f t="shared" si="95"/>
        <v>5419198596.4583063</v>
      </c>
      <c r="CU20" s="91">
        <f t="shared" si="96"/>
        <v>6.6255727263679638E-3</v>
      </c>
      <c r="CV20" s="91">
        <f t="shared" si="97"/>
        <v>2.641086328522611E-3</v>
      </c>
      <c r="CW20" s="8">
        <f t="shared" si="112"/>
        <v>-3.9844863978453528E-3</v>
      </c>
    </row>
    <row r="21" spans="1:101" x14ac:dyDescent="0.35">
      <c r="A21">
        <v>2020</v>
      </c>
      <c r="B21" t="s">
        <v>3</v>
      </c>
      <c r="C21">
        <f>179594.13</f>
        <v>179594.13</v>
      </c>
      <c r="D21" s="13">
        <v>4100930000</v>
      </c>
      <c r="M21" t="s">
        <v>17</v>
      </c>
      <c r="N21">
        <v>91493.06</v>
      </c>
      <c r="O21" s="8">
        <v>1426560000</v>
      </c>
      <c r="P21">
        <v>10024.9</v>
      </c>
      <c r="Q21" s="8">
        <f>O21*$M$49</f>
        <v>62083891.200000003</v>
      </c>
      <c r="R21" s="8">
        <f>O21*P21*$M$48</f>
        <v>146414990.5886195</v>
      </c>
      <c r="S21" s="8">
        <f>SUM(Q21:R21)*0.000000000001</f>
        <v>2.0849888178861952E-4</v>
      </c>
      <c r="T21" s="8">
        <f>O21*$M$50*0.000000000001</f>
        <v>1.386210535919228E-4</v>
      </c>
      <c r="AI21">
        <v>2020</v>
      </c>
      <c r="AJ21" t="s">
        <v>3</v>
      </c>
      <c r="AK21">
        <f>179594.13</f>
        <v>179594.13</v>
      </c>
      <c r="AL21" s="13">
        <v>4100930000</v>
      </c>
      <c r="AU21" t="s">
        <v>17</v>
      </c>
      <c r="AV21">
        <v>91493.06</v>
      </c>
      <c r="AW21" s="8">
        <v>1426560000</v>
      </c>
      <c r="AX21">
        <v>10024.9</v>
      </c>
      <c r="AY21" s="91">
        <f t="shared" ref="AY21:AY25" si="118">AW21*AU$49</f>
        <v>62083891.200000003</v>
      </c>
      <c r="AZ21" s="91">
        <f t="shared" ref="AZ21:AZ25" si="119">AW21*AX21*AU$48</f>
        <v>146414990.5886195</v>
      </c>
      <c r="BA21" s="8">
        <f>SUM(AY21:AZ21)*0.000000000001</f>
        <v>2.0849888178861952E-4</v>
      </c>
      <c r="BB21" s="91">
        <f t="shared" ref="BB21:BB25" si="120">AW21*AU$50*0.000000000001</f>
        <v>1.3513013412808122E-4</v>
      </c>
      <c r="BQ21">
        <v>2020</v>
      </c>
      <c r="BR21" t="s">
        <v>3</v>
      </c>
      <c r="BS21">
        <f>179594.13</f>
        <v>179594.13</v>
      </c>
      <c r="BT21" s="13">
        <v>4100930000</v>
      </c>
      <c r="CC21" t="s">
        <v>17</v>
      </c>
      <c r="CD21">
        <v>91493.06</v>
      </c>
      <c r="CE21" s="8">
        <v>1426560000</v>
      </c>
      <c r="CF21">
        <v>10024.9</v>
      </c>
      <c r="CG21" s="8">
        <f>CE21*$M$49</f>
        <v>62083891.200000003</v>
      </c>
      <c r="CH21" s="8">
        <f>CE21*CF21*$M$48</f>
        <v>146414990.5886195</v>
      </c>
      <c r="CI21" s="8">
        <f>SUM(CG21:CH21)*0.000000000001</f>
        <v>2.0849888178861952E-4</v>
      </c>
      <c r="CJ21" s="8">
        <f>CE21*$M$50*0.000000000001</f>
        <v>1.386210535919228E-4</v>
      </c>
    </row>
    <row r="22" spans="1:101" x14ac:dyDescent="0.35">
      <c r="B22" t="s">
        <v>4</v>
      </c>
      <c r="C22">
        <f>172595.13</f>
        <v>172595.13</v>
      </c>
      <c r="D22" s="13">
        <v>4076950000</v>
      </c>
      <c r="E22">
        <v>1519.17</v>
      </c>
      <c r="F22" s="8">
        <f>D22*$B$36</f>
        <v>177428864</v>
      </c>
      <c r="G22" s="8">
        <f>D22*E22*$B$35</f>
        <v>63409921.141875543</v>
      </c>
      <c r="H22" s="8">
        <f>SUM(F22:G22)*0.000000000001</f>
        <v>2.4083878514187553E-4</v>
      </c>
      <c r="I22" s="8">
        <f>D22*$B$37*0.000000000001</f>
        <v>1.2697083314925286E-4</v>
      </c>
      <c r="J22" s="8"/>
      <c r="K22" s="8"/>
      <c r="M22" t="s">
        <v>18</v>
      </c>
      <c r="N22">
        <v>54730.36</v>
      </c>
      <c r="O22" s="8">
        <v>1333930000</v>
      </c>
      <c r="P22">
        <v>4511.93</v>
      </c>
      <c r="Q22" s="8">
        <f t="shared" ref="Q22:Q25" si="121">O22*$M$49</f>
        <v>58052633.600000001</v>
      </c>
      <c r="R22" s="8">
        <f t="shared" ref="R22:R25" si="122">O22*P22*$M$48</f>
        <v>61618460.766191669</v>
      </c>
      <c r="S22" s="8">
        <f t="shared" ref="S22:S25" si="123">SUM(Q22:R22)*0.000000000001</f>
        <v>1.1967109436619167E-4</v>
      </c>
      <c r="T22" s="8">
        <f t="shared" ref="T22:T25" si="124">O22*$M$50*0.000000000001</f>
        <v>1.2962005244635596E-4</v>
      </c>
      <c r="X22">
        <v>2020</v>
      </c>
      <c r="Y22" t="s">
        <v>24</v>
      </c>
      <c r="Z22">
        <v>1318599.5300000012</v>
      </c>
      <c r="AA22" s="8">
        <v>31095256766.259991</v>
      </c>
      <c r="AJ22" t="s">
        <v>4</v>
      </c>
      <c r="AK22">
        <f>172595.13</f>
        <v>172595.13</v>
      </c>
      <c r="AL22" s="13">
        <v>4076950000</v>
      </c>
      <c r="AM22">
        <v>1519.17</v>
      </c>
      <c r="AN22" s="91">
        <f>AL22*AJ$36</f>
        <v>177428864</v>
      </c>
      <c r="AO22" s="91">
        <f>AL22*AM22*AJ$35</f>
        <v>63409921.141875543</v>
      </c>
      <c r="AP22" s="8">
        <f>SUM(AN22:AO22)*0.000000000001</f>
        <v>2.4083878514187553E-4</v>
      </c>
      <c r="AQ22" s="91">
        <f>AL22*AJ$37*0.000000000001</f>
        <v>1.1493397947847864E-4</v>
      </c>
      <c r="AR22" s="8"/>
      <c r="AS22" s="8"/>
      <c r="AU22" t="s">
        <v>18</v>
      </c>
      <c r="AV22">
        <v>54730.36</v>
      </c>
      <c r="AW22" s="8">
        <v>1333930000</v>
      </c>
      <c r="AX22">
        <v>4511.93</v>
      </c>
      <c r="AY22" s="91">
        <f t="shared" si="118"/>
        <v>58052633.600000001</v>
      </c>
      <c r="AZ22" s="91">
        <f t="shared" si="119"/>
        <v>61618460.766191669</v>
      </c>
      <c r="BA22" s="8">
        <f t="shared" ref="BA22:BA25" si="125">SUM(AY22:AZ22)*0.000000000001</f>
        <v>1.1967109436619167E-4</v>
      </c>
      <c r="BB22" s="91">
        <f t="shared" si="120"/>
        <v>1.2635580684827234E-4</v>
      </c>
      <c r="BF22">
        <v>2020</v>
      </c>
      <c r="BG22" t="s">
        <v>24</v>
      </c>
      <c r="BH22">
        <v>1318599.5300000012</v>
      </c>
      <c r="BI22" s="8">
        <v>31095256766.259991</v>
      </c>
      <c r="BR22" t="s">
        <v>4</v>
      </c>
      <c r="BS22">
        <f>172595.13</f>
        <v>172595.13</v>
      </c>
      <c r="BT22" s="13">
        <v>4076950000</v>
      </c>
      <c r="BU22">
        <v>1519.17</v>
      </c>
      <c r="BV22" s="91">
        <f>BT22*BR$36</f>
        <v>177428864</v>
      </c>
      <c r="BW22" s="91">
        <f>BT22*BU22*BR$35</f>
        <v>63409921.141875543</v>
      </c>
      <c r="BX22" s="91">
        <f>SUM(BV22:BW22)*0.000000000001</f>
        <v>2.4083878514187553E-4</v>
      </c>
      <c r="BY22" s="91">
        <f>BT22*BR$37*0.000000000001</f>
        <v>1.6398717858070636E-4</v>
      </c>
      <c r="BZ22" s="8"/>
      <c r="CA22" s="8"/>
      <c r="CC22" t="s">
        <v>18</v>
      </c>
      <c r="CD22">
        <v>54730.36</v>
      </c>
      <c r="CE22" s="8">
        <v>1333930000</v>
      </c>
      <c r="CF22">
        <v>4511.93</v>
      </c>
      <c r="CG22" s="8">
        <f t="shared" ref="CG22:CG25" si="126">CE22*$M$49</f>
        <v>58052633.600000001</v>
      </c>
      <c r="CH22" s="8">
        <f t="shared" ref="CH22:CH25" si="127">CE22*CF22*$M$48</f>
        <v>61618460.766191669</v>
      </c>
      <c r="CI22" s="8">
        <f t="shared" ref="CI22:CI25" si="128">SUM(CG22:CH22)*0.000000000001</f>
        <v>1.1967109436619167E-4</v>
      </c>
      <c r="CJ22" s="8">
        <f t="shared" ref="CJ22:CJ25" si="129">CE22*$M$50*0.000000000001</f>
        <v>1.2962005244635596E-4</v>
      </c>
      <c r="CN22">
        <v>2020</v>
      </c>
      <c r="CO22" t="s">
        <v>24</v>
      </c>
      <c r="CP22">
        <v>1318599.5300000012</v>
      </c>
      <c r="CQ22" s="8">
        <v>31095256766.259991</v>
      </c>
    </row>
    <row r="23" spans="1:101" ht="15" thickBot="1" x14ac:dyDescent="0.4">
      <c r="B23" t="s">
        <v>5</v>
      </c>
      <c r="C23">
        <f>3987.64</f>
        <v>3987.64</v>
      </c>
      <c r="D23" s="13">
        <v>12079000</v>
      </c>
      <c r="E23" s="2">
        <v>5203.3100000000004</v>
      </c>
      <c r="F23" s="8">
        <f>D23*$B$36</f>
        <v>525678.08000000007</v>
      </c>
      <c r="G23" s="8">
        <f>D23*E23*$B$35</f>
        <v>643466.78550535708</v>
      </c>
      <c r="H23" s="8">
        <f>SUM(F23:G23)*0.000000000001</f>
        <v>1.1691448655053572E-6</v>
      </c>
      <c r="I23" s="8">
        <f>D23*$B$37*0.000000000001</f>
        <v>3.7618334627842512E-7</v>
      </c>
      <c r="J23" s="8"/>
      <c r="K23" s="8"/>
      <c r="M23" t="s">
        <v>16</v>
      </c>
      <c r="N23">
        <v>38629.629999999997</v>
      </c>
      <c r="O23" s="8">
        <v>904198000</v>
      </c>
      <c r="P23">
        <v>4900.57</v>
      </c>
      <c r="Q23" s="8">
        <f t="shared" si="121"/>
        <v>39350696.960000001</v>
      </c>
      <c r="R23" s="8">
        <f t="shared" si="122"/>
        <v>45365488.465571076</v>
      </c>
      <c r="S23" s="8">
        <f t="shared" si="123"/>
        <v>8.4716185425571077E-5</v>
      </c>
      <c r="T23" s="8">
        <f t="shared" si="124"/>
        <v>8.786232574564646E-5</v>
      </c>
      <c r="W23" t="s">
        <v>42</v>
      </c>
      <c r="Y23" t="s">
        <v>1</v>
      </c>
      <c r="Z23">
        <f>Z22-(N33+C21)</f>
        <v>999873.30000000121</v>
      </c>
      <c r="AA23" s="8">
        <f>AA22-(O33+D21)</f>
        <v>23597456766.259991</v>
      </c>
      <c r="AB23" s="2">
        <v>38.352499999999999</v>
      </c>
      <c r="AC23" s="8">
        <f>AA23*$Y$38</f>
        <v>1026961318.4676349</v>
      </c>
      <c r="AD23" s="8">
        <f>AA23*AB23*$Y$37</f>
        <v>9265616.6920742188</v>
      </c>
      <c r="AE23" s="8">
        <f>SUM(AC23:AD23)*0.000000000001</f>
        <v>1.0362269351597091E-3</v>
      </c>
      <c r="AF23" s="8">
        <f>AA23*$Y$39*0.000000000001</f>
        <v>1.8993390128631057E-3</v>
      </c>
      <c r="AG23" s="8">
        <f>AF23-AE23</f>
        <v>8.6311207770339653E-4</v>
      </c>
      <c r="AH23" s="10"/>
      <c r="AJ23" t="s">
        <v>5</v>
      </c>
      <c r="AK23">
        <f>3987.64</f>
        <v>3987.64</v>
      </c>
      <c r="AL23" s="13">
        <v>12079000</v>
      </c>
      <c r="AM23" s="2">
        <v>5203.3100000000004</v>
      </c>
      <c r="AN23" s="91">
        <f>AL23*AJ$36</f>
        <v>525678.08000000007</v>
      </c>
      <c r="AO23" s="91">
        <f>AL23*AM23*AJ$35</f>
        <v>643466.78550535708</v>
      </c>
      <c r="AP23" s="8">
        <f>SUM(AN23:AO23)*0.000000000001</f>
        <v>1.1691448655053572E-6</v>
      </c>
      <c r="AQ23" s="91">
        <f>AL23*AJ$37*0.000000000001</f>
        <v>3.4052110968261653E-7</v>
      </c>
      <c r="AR23" s="8"/>
      <c r="AS23" s="8"/>
      <c r="AU23" t="s">
        <v>16</v>
      </c>
      <c r="AV23">
        <v>38629.629999999997</v>
      </c>
      <c r="AW23" s="8">
        <v>904198000</v>
      </c>
      <c r="AX23">
        <v>4900.57</v>
      </c>
      <c r="AY23" s="91">
        <f t="shared" si="118"/>
        <v>39350696.960000001</v>
      </c>
      <c r="AZ23" s="91">
        <f t="shared" si="119"/>
        <v>45365488.465571076</v>
      </c>
      <c r="BA23" s="8">
        <f t="shared" si="125"/>
        <v>8.4716185425571077E-5</v>
      </c>
      <c r="BB23" s="91">
        <f t="shared" si="120"/>
        <v>8.5649672651933874E-5</v>
      </c>
      <c r="BE23" t="s">
        <v>42</v>
      </c>
      <c r="BG23" t="s">
        <v>1</v>
      </c>
      <c r="BH23">
        <f>BH22-(AV33+AK21)</f>
        <v>999873.30000000121</v>
      </c>
      <c r="BI23" s="8">
        <f>BI22-(AW33+AL21)</f>
        <v>23597456766.259991</v>
      </c>
      <c r="BJ23" s="2">
        <v>38.352499999999999</v>
      </c>
      <c r="BK23" s="91">
        <f t="shared" ref="BK23:BK25" si="130">BI23*BG$38</f>
        <v>1026961318.4676349</v>
      </c>
      <c r="BL23" s="91">
        <f t="shared" ref="BL23:BL25" si="131">BI23*BJ23*BG$37</f>
        <v>9265616.6920742188</v>
      </c>
      <c r="BM23" s="8">
        <f>SUM(BK23:BL23)*0.000000000001</f>
        <v>1.0362269351597091E-3</v>
      </c>
      <c r="BN23" s="91">
        <f t="shared" ref="BN23:BN25" si="132">BI23*BG$39*0.000000000001</f>
        <v>1.6376212732239523E-3</v>
      </c>
      <c r="BO23" s="8">
        <f>BN23-BM23</f>
        <v>6.0139433806424315E-4</v>
      </c>
      <c r="BP23" s="10"/>
      <c r="BR23" t="s">
        <v>5</v>
      </c>
      <c r="BS23">
        <f>3987.64</f>
        <v>3987.64</v>
      </c>
      <c r="BT23" s="13">
        <v>12079000</v>
      </c>
      <c r="BU23" s="2">
        <v>5203.3100000000004</v>
      </c>
      <c r="BV23" s="91">
        <f>BT23*BR$36</f>
        <v>525678.08000000007</v>
      </c>
      <c r="BW23" s="91">
        <f>BT23*BU23*BR$35</f>
        <v>643466.78550535708</v>
      </c>
      <c r="BX23" s="91">
        <f>SUM(BV23:BW23)*0.000000000001</f>
        <v>1.1691448655053572E-6</v>
      </c>
      <c r="BY23" s="91">
        <f>BT23*BR$37*0.000000000001</f>
        <v>4.8585367249447555E-7</v>
      </c>
      <c r="BZ23" s="8"/>
      <c r="CA23" s="8"/>
      <c r="CC23" t="s">
        <v>16</v>
      </c>
      <c r="CD23">
        <v>38629.629999999997</v>
      </c>
      <c r="CE23" s="8">
        <v>904198000</v>
      </c>
      <c r="CF23">
        <v>4900.57</v>
      </c>
      <c r="CG23" s="8">
        <f t="shared" si="126"/>
        <v>39350696.960000001</v>
      </c>
      <c r="CH23" s="8">
        <f t="shared" si="127"/>
        <v>45365488.465571076</v>
      </c>
      <c r="CI23" s="8">
        <f t="shared" si="128"/>
        <v>8.4716185425571077E-5</v>
      </c>
      <c r="CJ23" s="8">
        <f t="shared" si="129"/>
        <v>8.786232574564646E-5</v>
      </c>
      <c r="CM23" t="s">
        <v>42</v>
      </c>
      <c r="CO23" t="s">
        <v>1</v>
      </c>
      <c r="CP23">
        <f>CP22-(CD33+BS21)</f>
        <v>999873.30000000121</v>
      </c>
      <c r="CQ23" s="8">
        <f>CQ22-(CE33+BT21)</f>
        <v>23597456766.259991</v>
      </c>
      <c r="CR23" s="2">
        <v>38.352499999999999</v>
      </c>
      <c r="CS23" s="91">
        <f t="shared" ref="CS23:CS25" si="133">CQ23*CO$38</f>
        <v>1026961318.4676349</v>
      </c>
      <c r="CT23" s="91">
        <f t="shared" ref="CT23:CT25" si="134">CQ23*CR23*CO$37</f>
        <v>9265616.6920742188</v>
      </c>
      <c r="CU23" s="91">
        <f t="shared" ref="CU23:CU25" si="135">SUM(CS23:CT23)*0.000000000001</f>
        <v>1.0362269351597091E-3</v>
      </c>
      <c r="CV23" s="91">
        <f t="shared" ref="CV23:CV25" si="136">CQ23*CO$39*0.000000000001</f>
        <v>2.2483021070167867E-3</v>
      </c>
      <c r="CW23" s="8">
        <f>CV23-CU23</f>
        <v>1.2120751718570776E-3</v>
      </c>
    </row>
    <row r="24" spans="1:101" ht="15" thickBot="1" x14ac:dyDescent="0.4">
      <c r="B24" s="1" t="s">
        <v>27</v>
      </c>
      <c r="D24" s="8"/>
      <c r="F24" s="8">
        <f t="shared" ref="F24:G24" si="137">SUM(F22:F23)</f>
        <v>177954542.08000001</v>
      </c>
      <c r="G24" s="8">
        <f t="shared" si="137"/>
        <v>64053387.927380897</v>
      </c>
      <c r="H24" s="8">
        <f>SUM(H22:H23)</f>
        <v>2.420079300073809E-4</v>
      </c>
      <c r="I24" s="8">
        <f>SUM(I22:I23)</f>
        <v>1.273470164955313E-4</v>
      </c>
      <c r="J24" s="8">
        <f>I24-H24</f>
        <v>-1.146609135118496E-4</v>
      </c>
      <c r="K24" s="8"/>
      <c r="M24" t="s">
        <v>19</v>
      </c>
      <c r="N24">
        <v>6122.62</v>
      </c>
      <c r="O24" s="8">
        <v>115150000</v>
      </c>
      <c r="P24">
        <v>13389.8</v>
      </c>
      <c r="Q24" s="8">
        <f t="shared" si="121"/>
        <v>5011328</v>
      </c>
      <c r="R24" s="8">
        <f t="shared" si="122"/>
        <v>15785323.430177148</v>
      </c>
      <c r="S24" s="8">
        <f t="shared" si="123"/>
        <v>2.0796651430177147E-5</v>
      </c>
      <c r="T24" s="8">
        <f t="shared" si="124"/>
        <v>1.1189304565605309E-5</v>
      </c>
      <c r="W24" t="s">
        <v>47</v>
      </c>
      <c r="Y24" t="s">
        <v>1</v>
      </c>
      <c r="Z24">
        <v>999873.30000000121</v>
      </c>
      <c r="AA24" s="15">
        <v>23597456766.259991</v>
      </c>
      <c r="AB24" s="2">
        <v>3240</v>
      </c>
      <c r="AC24" s="8">
        <f t="shared" ref="AC24:AC25" si="138">AA24*$Y$38</f>
        <v>1026961318.4676349</v>
      </c>
      <c r="AD24" s="8">
        <f t="shared" ref="AD24:AD25" si="139">AA24*AB24*$Y$37</f>
        <v>782754659.600299</v>
      </c>
      <c r="AE24" s="8">
        <f t="shared" ref="AE24:AE25" si="140">SUM(AC24:AD24)*0.000000000001</f>
        <v>1.8097159780679341E-3</v>
      </c>
      <c r="AF24" s="8">
        <f t="shared" ref="AF24:AF25" si="141">AA24*$Y$39*0.000000000001</f>
        <v>1.8993390128631057E-3</v>
      </c>
      <c r="AG24" s="8">
        <f t="shared" ref="AG24:AG25" si="142">AF24-AE24</f>
        <v>8.9623034795171565E-5</v>
      </c>
      <c r="AH24" s="10"/>
      <c r="AJ24" s="1" t="s">
        <v>27</v>
      </c>
      <c r="AL24" s="8"/>
      <c r="AN24" s="8">
        <f t="shared" ref="AN24" si="143">SUM(AN22:AN23)</f>
        <v>177954542.08000001</v>
      </c>
      <c r="AO24" s="8">
        <f t="shared" ref="AO24" si="144">SUM(AO22:AO23)</f>
        <v>64053387.927380897</v>
      </c>
      <c r="AP24" s="8">
        <f>SUM(AP22:AP23)</f>
        <v>2.420079300073809E-4</v>
      </c>
      <c r="AQ24" s="8">
        <f>SUM(AQ22:AQ23)</f>
        <v>1.1527450058816125E-4</v>
      </c>
      <c r="AR24" s="8">
        <f>AQ24-AP24</f>
        <v>-1.2673342941921966E-4</v>
      </c>
      <c r="AS24" s="8"/>
      <c r="AU24" t="s">
        <v>19</v>
      </c>
      <c r="AV24">
        <v>6122.62</v>
      </c>
      <c r="AW24" s="8">
        <v>115150000</v>
      </c>
      <c r="AX24">
        <v>13389.8</v>
      </c>
      <c r="AY24" s="91">
        <f t="shared" si="118"/>
        <v>5011328</v>
      </c>
      <c r="AZ24" s="91">
        <f t="shared" si="119"/>
        <v>15785323.430177148</v>
      </c>
      <c r="BA24" s="8">
        <f t="shared" si="125"/>
        <v>2.0796651430177147E-5</v>
      </c>
      <c r="BB24" s="91">
        <f t="shared" si="120"/>
        <v>1.0907522252725824E-5</v>
      </c>
      <c r="BE24" t="s">
        <v>47</v>
      </c>
      <c r="BG24" t="s">
        <v>1</v>
      </c>
      <c r="BH24">
        <v>999873.30000000121</v>
      </c>
      <c r="BI24" s="15">
        <v>23597456766.259991</v>
      </c>
      <c r="BJ24" s="2">
        <v>3240</v>
      </c>
      <c r="BK24" s="91">
        <f t="shared" si="130"/>
        <v>1026961318.4676349</v>
      </c>
      <c r="BL24" s="91">
        <f t="shared" si="131"/>
        <v>782754659.600299</v>
      </c>
      <c r="BM24" s="8">
        <f t="shared" ref="BM24:BM25" si="145">SUM(BK24:BL24)*0.000000000001</f>
        <v>1.8097159780679341E-3</v>
      </c>
      <c r="BN24" s="91">
        <f t="shared" si="132"/>
        <v>1.6376212732239523E-3</v>
      </c>
      <c r="BO24" s="8">
        <f t="shared" ref="BO24:BO25" si="146">BN24-BM24</f>
        <v>-1.7209470484398181E-4</v>
      </c>
      <c r="BP24" s="10"/>
      <c r="BR24" s="1" t="s">
        <v>27</v>
      </c>
      <c r="BT24" s="8"/>
      <c r="BV24" s="8">
        <f t="shared" ref="BV24" si="147">SUM(BV22:BV23)</f>
        <v>177954542.08000001</v>
      </c>
      <c r="BW24" s="8">
        <f t="shared" ref="BW24" si="148">SUM(BW22:BW23)</f>
        <v>64053387.927380897</v>
      </c>
      <c r="BX24" s="8">
        <f>SUM(BX22:BX23)</f>
        <v>2.420079300073809E-4</v>
      </c>
      <c r="BY24" s="8">
        <f>SUM(BY22:BY23)</f>
        <v>1.6447303225320084E-4</v>
      </c>
      <c r="BZ24" s="8">
        <f>BY24-BX24</f>
        <v>-7.7534897754180058E-5</v>
      </c>
      <c r="CA24" s="8"/>
      <c r="CC24" t="s">
        <v>19</v>
      </c>
      <c r="CD24">
        <v>6122.62</v>
      </c>
      <c r="CE24" s="8">
        <v>115150000</v>
      </c>
      <c r="CF24">
        <v>13389.8</v>
      </c>
      <c r="CG24" s="8">
        <f t="shared" si="126"/>
        <v>5011328</v>
      </c>
      <c r="CH24" s="8">
        <f t="shared" si="127"/>
        <v>15785323.430177148</v>
      </c>
      <c r="CI24" s="8">
        <f t="shared" si="128"/>
        <v>2.0796651430177147E-5</v>
      </c>
      <c r="CJ24" s="8">
        <f t="shared" si="129"/>
        <v>1.1189304565605309E-5</v>
      </c>
      <c r="CM24" t="s">
        <v>47</v>
      </c>
      <c r="CO24" t="s">
        <v>1</v>
      </c>
      <c r="CP24">
        <v>999873.30000000121</v>
      </c>
      <c r="CQ24" s="15">
        <v>23597456766.259991</v>
      </c>
      <c r="CR24" s="2">
        <v>3240</v>
      </c>
      <c r="CS24" s="91">
        <f t="shared" si="133"/>
        <v>1026961318.4676349</v>
      </c>
      <c r="CT24" s="91">
        <f t="shared" si="134"/>
        <v>782754659.600299</v>
      </c>
      <c r="CU24" s="91">
        <f t="shared" si="135"/>
        <v>1.8097159780679341E-3</v>
      </c>
      <c r="CV24" s="91">
        <f t="shared" si="136"/>
        <v>2.2483021070167867E-3</v>
      </c>
      <c r="CW24" s="8">
        <f t="shared" ref="CW24:CW25" si="149">CV24-CU24</f>
        <v>4.385861289488526E-4</v>
      </c>
    </row>
    <row r="25" spans="1:101" ht="15" thickBot="1" x14ac:dyDescent="0.4">
      <c r="A25">
        <v>2019</v>
      </c>
      <c r="B25" t="s">
        <v>3</v>
      </c>
      <c r="C25">
        <f>236543.02</f>
        <v>236543.02</v>
      </c>
      <c r="D25" s="14">
        <v>5168340000</v>
      </c>
      <c r="E25" s="4"/>
      <c r="M25" t="s">
        <v>20</v>
      </c>
      <c r="N25">
        <v>1522.14</v>
      </c>
      <c r="O25" s="8">
        <v>38216900</v>
      </c>
      <c r="P25">
        <v>13090.6</v>
      </c>
      <c r="Q25" s="8">
        <f t="shared" si="121"/>
        <v>1663199.4880000001</v>
      </c>
      <c r="R25" s="8">
        <f t="shared" si="122"/>
        <v>5121892.5207951451</v>
      </c>
      <c r="S25" s="8">
        <f t="shared" si="123"/>
        <v>6.7850920087951448E-6</v>
      </c>
      <c r="T25" s="8">
        <f t="shared" si="124"/>
        <v>3.7135956027206385E-6</v>
      </c>
      <c r="W25" t="s">
        <v>43</v>
      </c>
      <c r="Y25" t="s">
        <v>1</v>
      </c>
      <c r="Z25">
        <v>999873.30000000121</v>
      </c>
      <c r="AA25">
        <v>23597456766.259991</v>
      </c>
      <c r="AB25">
        <v>19095.3</v>
      </c>
      <c r="AC25" s="8">
        <f t="shared" si="138"/>
        <v>1026961318.4676349</v>
      </c>
      <c r="AD25" s="8">
        <f t="shared" si="139"/>
        <v>4613251559.0943174</v>
      </c>
      <c r="AE25" s="8">
        <f t="shared" si="140"/>
        <v>5.6402128775619523E-3</v>
      </c>
      <c r="AF25" s="8">
        <f t="shared" si="141"/>
        <v>1.8993390128631057E-3</v>
      </c>
      <c r="AG25" s="8">
        <f t="shared" si="142"/>
        <v>-3.7408738646988468E-3</v>
      </c>
      <c r="AH25" s="10"/>
      <c r="AI25">
        <v>2019</v>
      </c>
      <c r="AJ25" t="s">
        <v>3</v>
      </c>
      <c r="AK25">
        <f>236543.02</f>
        <v>236543.02</v>
      </c>
      <c r="AL25" s="14">
        <v>5168340000</v>
      </c>
      <c r="AM25" s="4"/>
      <c r="AU25" t="s">
        <v>20</v>
      </c>
      <c r="AV25">
        <v>1522.14</v>
      </c>
      <c r="AW25" s="8">
        <v>38216900</v>
      </c>
      <c r="AX25">
        <v>13090.6</v>
      </c>
      <c r="AY25" s="91">
        <f t="shared" si="118"/>
        <v>1663199.4880000001</v>
      </c>
      <c r="AZ25" s="91">
        <f t="shared" si="119"/>
        <v>5121892.5207951451</v>
      </c>
      <c r="BA25" s="8">
        <f t="shared" si="125"/>
        <v>6.7850920087951448E-6</v>
      </c>
      <c r="BB25" s="91">
        <f t="shared" si="120"/>
        <v>3.6200754422943778E-6</v>
      </c>
      <c r="BE25" t="s">
        <v>43</v>
      </c>
      <c r="BG25" t="s">
        <v>1</v>
      </c>
      <c r="BH25">
        <v>999873.30000000121</v>
      </c>
      <c r="BI25">
        <v>23597456766.259991</v>
      </c>
      <c r="BJ25">
        <v>19095.3</v>
      </c>
      <c r="BK25" s="91">
        <f t="shared" si="130"/>
        <v>1026961318.4676349</v>
      </c>
      <c r="BL25" s="91">
        <f t="shared" si="131"/>
        <v>4613251559.0943174</v>
      </c>
      <c r="BM25" s="8">
        <f t="shared" si="145"/>
        <v>5.6402128775619523E-3</v>
      </c>
      <c r="BN25" s="91">
        <f t="shared" si="132"/>
        <v>1.6376212732239523E-3</v>
      </c>
      <c r="BO25" s="8">
        <f t="shared" si="146"/>
        <v>-4.0025916043379996E-3</v>
      </c>
      <c r="BP25" s="10"/>
      <c r="BQ25">
        <v>2019</v>
      </c>
      <c r="BR25" t="s">
        <v>3</v>
      </c>
      <c r="BS25">
        <f>236543.02</f>
        <v>236543.02</v>
      </c>
      <c r="BT25" s="14">
        <v>5168340000</v>
      </c>
      <c r="BU25" s="4"/>
      <c r="CC25" t="s">
        <v>20</v>
      </c>
      <c r="CD25">
        <v>1522.14</v>
      </c>
      <c r="CE25" s="8">
        <v>38216900</v>
      </c>
      <c r="CF25">
        <v>13090.6</v>
      </c>
      <c r="CG25" s="8">
        <f t="shared" si="126"/>
        <v>1663199.4880000001</v>
      </c>
      <c r="CH25" s="8">
        <f t="shared" si="127"/>
        <v>5121892.5207951451</v>
      </c>
      <c r="CI25" s="8">
        <f t="shared" si="128"/>
        <v>6.7850920087951448E-6</v>
      </c>
      <c r="CJ25" s="8">
        <f t="shared" si="129"/>
        <v>3.7135956027206385E-6</v>
      </c>
      <c r="CM25" t="s">
        <v>43</v>
      </c>
      <c r="CO25" t="s">
        <v>1</v>
      </c>
      <c r="CP25">
        <v>999873.30000000121</v>
      </c>
      <c r="CQ25">
        <v>23597456766.259991</v>
      </c>
      <c r="CR25">
        <v>19095.3</v>
      </c>
      <c r="CS25" s="91">
        <f t="shared" si="133"/>
        <v>1026961318.4676349</v>
      </c>
      <c r="CT25" s="91">
        <f t="shared" si="134"/>
        <v>4613251559.0943174</v>
      </c>
      <c r="CU25" s="91">
        <f t="shared" si="135"/>
        <v>5.6402128775619523E-3</v>
      </c>
      <c r="CV25" s="91">
        <f t="shared" si="136"/>
        <v>2.2483021070167867E-3</v>
      </c>
      <c r="CW25" s="8">
        <f t="shared" si="149"/>
        <v>-3.3919107705451656E-3</v>
      </c>
    </row>
    <row r="26" spans="1:101" x14ac:dyDescent="0.35">
      <c r="B26" t="s">
        <v>4</v>
      </c>
      <c r="C26">
        <f>231713.16</f>
        <v>231713.16</v>
      </c>
      <c r="D26" s="13">
        <v>5152700000</v>
      </c>
      <c r="E26">
        <v>1519.17</v>
      </c>
      <c r="F26" s="8">
        <f>D26*$B$36</f>
        <v>224245504.00000003</v>
      </c>
      <c r="G26" s="8">
        <f>D26*E26*$B$35</f>
        <v>80141355.834077463</v>
      </c>
      <c r="H26" s="8">
        <f>SUM(F26:G26)*0.000000000001</f>
        <v>3.043868598340775E-4</v>
      </c>
      <c r="I26" s="8">
        <f>D26*$B$37*0.000000000001</f>
        <v>1.6047354320463956E-4</v>
      </c>
      <c r="J26" s="8"/>
      <c r="K26" s="8"/>
      <c r="M26" s="1" t="s">
        <v>27</v>
      </c>
      <c r="Q26" s="8">
        <f>SUM(Q21:Q25)</f>
        <v>166161749.24800003</v>
      </c>
      <c r="R26" s="8">
        <f t="shared" ref="R26:T26" si="150">SUM(R21:R25)</f>
        <v>274306155.77135456</v>
      </c>
      <c r="S26" s="8">
        <f t="shared" si="150"/>
        <v>4.4046790501935459E-4</v>
      </c>
      <c r="T26" s="8">
        <f t="shared" si="150"/>
        <v>3.7100633195225117E-4</v>
      </c>
      <c r="U26" s="8">
        <f>T26-S26</f>
        <v>-6.9461573067103419E-5</v>
      </c>
      <c r="V26" s="8"/>
      <c r="X26">
        <v>2019</v>
      </c>
      <c r="Y26" t="s">
        <v>24</v>
      </c>
      <c r="Z26">
        <v>1485024.6500000008</v>
      </c>
      <c r="AA26" s="8">
        <v>34587127556.550003</v>
      </c>
      <c r="AJ26" t="s">
        <v>4</v>
      </c>
      <c r="AK26">
        <f>231713.16</f>
        <v>231713.16</v>
      </c>
      <c r="AL26" s="13">
        <v>5152700000</v>
      </c>
      <c r="AM26">
        <v>1519.17</v>
      </c>
      <c r="AN26" s="91">
        <f>AL26*AJ$36</f>
        <v>224245504.00000003</v>
      </c>
      <c r="AO26" s="91">
        <f>AL26*AM26*AJ$35</f>
        <v>80141355.834077463</v>
      </c>
      <c r="AP26" s="8">
        <f>SUM(AN26:AO26)*0.000000000001</f>
        <v>3.043868598340775E-4</v>
      </c>
      <c r="AQ26" s="91">
        <f>AL26*AJ$37*0.000000000001</f>
        <v>1.4526062768951221E-4</v>
      </c>
      <c r="AR26" s="8"/>
      <c r="AS26" s="8"/>
      <c r="AU26" s="1" t="s">
        <v>27</v>
      </c>
      <c r="AY26" s="8">
        <f>SUM(AY21:AY25)</f>
        <v>166161749.24800003</v>
      </c>
      <c r="AZ26" s="8">
        <f t="shared" ref="AZ26" si="151">SUM(AZ21:AZ25)</f>
        <v>274306155.77135456</v>
      </c>
      <c r="BA26" s="8">
        <f t="shared" ref="BA26" si="152">SUM(BA21:BA25)</f>
        <v>4.4046790501935459E-4</v>
      </c>
      <c r="BB26" s="8">
        <f t="shared" ref="BB26" si="153">SUM(BB21:BB25)</f>
        <v>3.6166321132330762E-4</v>
      </c>
      <c r="BC26" s="8">
        <f>BB26-BA26</f>
        <v>-7.8804693696046975E-5</v>
      </c>
      <c r="BD26" s="8"/>
      <c r="BF26">
        <v>2019</v>
      </c>
      <c r="BG26" t="s">
        <v>24</v>
      </c>
      <c r="BH26">
        <v>1485024.6500000008</v>
      </c>
      <c r="BI26" s="8">
        <v>34587127556.550003</v>
      </c>
      <c r="BR26" t="s">
        <v>4</v>
      </c>
      <c r="BS26">
        <f>231713.16</f>
        <v>231713.16</v>
      </c>
      <c r="BT26" s="13">
        <v>5152700000</v>
      </c>
      <c r="BU26">
        <v>1519.17</v>
      </c>
      <c r="BV26" s="91">
        <f>BT26*BR$36</f>
        <v>224245504.00000003</v>
      </c>
      <c r="BW26" s="91">
        <f>BT26*BU26*BR$35</f>
        <v>80141355.834077463</v>
      </c>
      <c r="BX26" s="91">
        <f>SUM(BV26:BW26)*0.000000000001</f>
        <v>3.043868598340775E-4</v>
      </c>
      <c r="BY26" s="91">
        <f>BT26*BR$37*0.000000000001</f>
        <v>2.0725707577301798E-4</v>
      </c>
      <c r="BZ26" s="8"/>
      <c r="CA26" s="8"/>
      <c r="CC26" s="1" t="s">
        <v>27</v>
      </c>
      <c r="CG26" s="8">
        <f>SUM(CG21:CG25)</f>
        <v>166161749.24800003</v>
      </c>
      <c r="CH26" s="8">
        <f t="shared" ref="CH26" si="154">SUM(CH21:CH25)</f>
        <v>274306155.77135456</v>
      </c>
      <c r="CI26" s="8">
        <f t="shared" ref="CI26" si="155">SUM(CI21:CI25)</f>
        <v>4.4046790501935459E-4</v>
      </c>
      <c r="CJ26" s="8">
        <f t="shared" ref="CJ26" si="156">SUM(CJ21:CJ25)</f>
        <v>3.7100633195225117E-4</v>
      </c>
      <c r="CK26" s="8">
        <f>CJ26-CI26</f>
        <v>-6.9461573067103419E-5</v>
      </c>
      <c r="CL26" s="8"/>
      <c r="CN26">
        <v>2019</v>
      </c>
      <c r="CO26" t="s">
        <v>24</v>
      </c>
      <c r="CP26">
        <v>1485024.6500000008</v>
      </c>
      <c r="CQ26" s="8">
        <v>34587127556.550003</v>
      </c>
    </row>
    <row r="27" spans="1:101" x14ac:dyDescent="0.35">
      <c r="B27" t="s">
        <v>5</v>
      </c>
      <c r="C27">
        <f>2558.59</f>
        <v>2558.59</v>
      </c>
      <c r="D27" s="13">
        <v>7620790</v>
      </c>
      <c r="E27" s="2">
        <v>5203.3100000000004</v>
      </c>
      <c r="F27" s="8">
        <f>D27*$B$36</f>
        <v>331656.78080000001</v>
      </c>
      <c r="G27" s="8">
        <f>D27*E27*$B$35</f>
        <v>405971.12710583402</v>
      </c>
      <c r="H27" s="8">
        <f>SUM(F27:G27)*0.000000000001</f>
        <v>7.3762790790583403E-7</v>
      </c>
      <c r="I27" s="8">
        <f>D27*$B$37*0.000000000001</f>
        <v>2.3733871044665613E-7</v>
      </c>
      <c r="J27" s="8"/>
      <c r="K27" s="8"/>
      <c r="L27">
        <v>2021</v>
      </c>
      <c r="M27" t="s">
        <v>22</v>
      </c>
      <c r="N27">
        <v>170860.49</v>
      </c>
      <c r="O27" s="8">
        <v>3454720000</v>
      </c>
      <c r="W27" t="s">
        <v>42</v>
      </c>
      <c r="Y27" t="s">
        <v>1</v>
      </c>
      <c r="Z27">
        <f>Z26-(N38+C25)</f>
        <v>1147760.8400000008</v>
      </c>
      <c r="AA27" s="8">
        <f>AA26-(O38+D25)</f>
        <v>27261617556.550003</v>
      </c>
      <c r="AB27" s="2">
        <v>38.352499999999999</v>
      </c>
      <c r="AC27" s="8">
        <f>AA27*$Y$38</f>
        <v>1186425596.0610561</v>
      </c>
      <c r="AD27" s="8">
        <f>AA27*AB27*$Y$37</f>
        <v>10704361.11768106</v>
      </c>
      <c r="AE27" s="8">
        <f>SUM(AC27:AD27)*0.000000000001</f>
        <v>1.1971299571787372E-3</v>
      </c>
      <c r="AF27" s="8">
        <f>AA27*$Y$39*0.000000000001</f>
        <v>2.194264165490227E-3</v>
      </c>
      <c r="AG27" s="8">
        <f>AF27-AE27</f>
        <v>9.971342083114898E-4</v>
      </c>
      <c r="AH27" s="10"/>
      <c r="AJ27" t="s">
        <v>5</v>
      </c>
      <c r="AK27">
        <f>2558.59</f>
        <v>2558.59</v>
      </c>
      <c r="AL27" s="13">
        <v>7620790</v>
      </c>
      <c r="AM27" s="2">
        <v>5203.3100000000004</v>
      </c>
      <c r="AN27" s="91">
        <f>AL27*AJ$36</f>
        <v>331656.78080000001</v>
      </c>
      <c r="AO27" s="91">
        <f>AL27*AM27*AJ$35</f>
        <v>405971.12710583402</v>
      </c>
      <c r="AP27" s="8">
        <f>SUM(AN27:AO27)*0.000000000001</f>
        <v>7.3762790790583403E-7</v>
      </c>
      <c r="AQ27" s="91">
        <f>AL27*AJ$37*0.000000000001</f>
        <v>2.1483896576357208E-7</v>
      </c>
      <c r="AR27" s="8"/>
      <c r="AS27" s="8"/>
      <c r="AT27">
        <v>2021</v>
      </c>
      <c r="AU27" t="s">
        <v>22</v>
      </c>
      <c r="AV27">
        <v>170860.49</v>
      </c>
      <c r="AW27" s="8">
        <v>3454720000</v>
      </c>
      <c r="BE27" t="s">
        <v>42</v>
      </c>
      <c r="BG27" t="s">
        <v>1</v>
      </c>
      <c r="BH27">
        <f>BH26-(AV38+AK25)</f>
        <v>1147760.8400000008</v>
      </c>
      <c r="BI27" s="8">
        <f>BI26-(AW38+AL25)</f>
        <v>27261617556.550003</v>
      </c>
      <c r="BJ27" s="2">
        <v>38.352499999999999</v>
      </c>
      <c r="BK27" s="91">
        <f t="shared" ref="BK27:BK29" si="157">BI27*BG$38</f>
        <v>1186425596.0610561</v>
      </c>
      <c r="BL27" s="91">
        <f t="shared" ref="BL27:BL29" si="158">BI27*BJ27*BG$37</f>
        <v>10704361.11768106</v>
      </c>
      <c r="BM27" s="8">
        <f>SUM(BK27:BL27)*0.000000000001</f>
        <v>1.1971299571787372E-3</v>
      </c>
      <c r="BN27" s="91">
        <f t="shared" ref="BN27:BN29" si="159">BI27*BG$39*0.000000000001</f>
        <v>1.8919074752553353E-3</v>
      </c>
      <c r="BO27" s="8">
        <f>BN27-BM27</f>
        <v>6.9477751807659805E-4</v>
      </c>
      <c r="BP27" s="10"/>
      <c r="BR27" t="s">
        <v>5</v>
      </c>
      <c r="BS27">
        <f>2558.59</f>
        <v>2558.59</v>
      </c>
      <c r="BT27" s="13">
        <v>7620790</v>
      </c>
      <c r="BU27" s="2">
        <v>5203.3100000000004</v>
      </c>
      <c r="BV27" s="91">
        <f>BT27*BR$36</f>
        <v>331656.78080000001</v>
      </c>
      <c r="BW27" s="91">
        <f>BT27*BU27*BR$35</f>
        <v>405971.12710583402</v>
      </c>
      <c r="BX27" s="91">
        <f>SUM(BV27:BW27)*0.000000000001</f>
        <v>7.3762790790583403E-7</v>
      </c>
      <c r="BY27" s="91">
        <f>BT27*BR$37*0.000000000001</f>
        <v>3.0653107118214872E-7</v>
      </c>
      <c r="BZ27" s="8"/>
      <c r="CA27" s="8"/>
      <c r="CB27">
        <v>2021</v>
      </c>
      <c r="CC27" t="s">
        <v>22</v>
      </c>
      <c r="CD27">
        <v>170860.49</v>
      </c>
      <c r="CE27" s="8">
        <v>3454720000</v>
      </c>
      <c r="CM27" t="s">
        <v>42</v>
      </c>
      <c r="CO27" t="s">
        <v>1</v>
      </c>
      <c r="CP27">
        <f>CP26-(CD38+BS25)</f>
        <v>1147760.8400000008</v>
      </c>
      <c r="CQ27" s="8">
        <f>CQ26-(CE38+BT25)</f>
        <v>27261617556.550003</v>
      </c>
      <c r="CR27" s="2">
        <v>38.352499999999999</v>
      </c>
      <c r="CS27" s="91">
        <f t="shared" ref="CS27:CS29" si="160">CQ27*CO$38</f>
        <v>1186425596.0610561</v>
      </c>
      <c r="CT27" s="91">
        <f t="shared" ref="CT27:CT29" si="161">CQ27*CR27*CO$37</f>
        <v>10704361.11768106</v>
      </c>
      <c r="CU27" s="91">
        <f t="shared" ref="CU27:CU29" si="162">SUM(CS27:CT27)*0.000000000001</f>
        <v>1.1971299571787372E-3</v>
      </c>
      <c r="CV27" s="91">
        <f t="shared" ref="CV27:CV29" si="163">CQ27*CO$39*0.000000000001</f>
        <v>2.5974134755366498E-3</v>
      </c>
      <c r="CW27" s="8">
        <f>CV27-CU27</f>
        <v>1.4002835183579126E-3</v>
      </c>
    </row>
    <row r="28" spans="1:101" x14ac:dyDescent="0.35">
      <c r="B28" s="1" t="s">
        <v>27</v>
      </c>
      <c r="F28" s="8">
        <f t="shared" ref="F28:G28" si="164">SUM(F26:F27)</f>
        <v>224577160.78080004</v>
      </c>
      <c r="G28" s="8">
        <f t="shared" si="164"/>
        <v>80547326.961183295</v>
      </c>
      <c r="H28" s="8">
        <f>SUM(H26:H27)</f>
        <v>3.0512448774198335E-4</v>
      </c>
      <c r="I28" s="8">
        <f>SUM(I26:I27)</f>
        <v>1.607108819150862E-4</v>
      </c>
      <c r="J28" s="8">
        <f>I28-H28</f>
        <v>-1.4441360582689714E-4</v>
      </c>
      <c r="K28" s="8"/>
      <c r="M28" t="s">
        <v>17</v>
      </c>
      <c r="N28">
        <v>69396.2</v>
      </c>
      <c r="O28" s="8">
        <v>1299080000</v>
      </c>
      <c r="P28">
        <v>10024.9</v>
      </c>
      <c r="Q28" s="8">
        <f>O28*$M$49</f>
        <v>56535961.600000001</v>
      </c>
      <c r="R28" s="8">
        <f>O28*P28*$M$48</f>
        <v>133331080.34282736</v>
      </c>
      <c r="S28" s="8">
        <f>SUM(Q28:R28)*0.000000000001</f>
        <v>1.8986704194282736E-4</v>
      </c>
      <c r="T28" s="8">
        <f>O28*$M$50*0.000000000001</f>
        <v>1.2623362375237989E-4</v>
      </c>
      <c r="W28" t="s">
        <v>47</v>
      </c>
      <c r="Y28" t="s">
        <v>1</v>
      </c>
      <c r="Z28">
        <v>1147760.8400000008</v>
      </c>
      <c r="AA28" s="8">
        <v>27261617556.550003</v>
      </c>
      <c r="AB28" s="2">
        <v>3240</v>
      </c>
      <c r="AC28" s="8">
        <f t="shared" ref="AC28:AC29" si="165">AA28*$Y$38</f>
        <v>1186425596.0610561</v>
      </c>
      <c r="AD28" s="8">
        <f t="shared" ref="AD28:AD29" si="166">AA28*AB28*$Y$37</f>
        <v>904299068.41240168</v>
      </c>
      <c r="AE28" s="8">
        <f t="shared" ref="AE28:AE29" si="167">SUM(AC28:AD28)*0.000000000001</f>
        <v>2.0907246644734576E-3</v>
      </c>
      <c r="AF28" s="8">
        <f t="shared" ref="AF28:AF29" si="168">AA28*$Y$39*0.000000000001</f>
        <v>2.194264165490227E-3</v>
      </c>
      <c r="AG28" s="8">
        <f t="shared" ref="AG28:AG29" si="169">AF28-AE28</f>
        <v>1.0353950101676945E-4</v>
      </c>
      <c r="AH28" s="10"/>
      <c r="AJ28" s="1" t="s">
        <v>27</v>
      </c>
      <c r="AN28" s="8">
        <f t="shared" ref="AN28" si="170">SUM(AN26:AN27)</f>
        <v>224577160.78080004</v>
      </c>
      <c r="AO28" s="8">
        <f t="shared" ref="AO28" si="171">SUM(AO26:AO27)</f>
        <v>80547326.961183295</v>
      </c>
      <c r="AP28" s="8">
        <f>SUM(AP26:AP27)</f>
        <v>3.0512448774198335E-4</v>
      </c>
      <c r="AQ28" s="8">
        <f>SUM(AQ26:AQ27)</f>
        <v>1.4547546665527578E-4</v>
      </c>
      <c r="AR28" s="8">
        <f>AQ28-AP28</f>
        <v>-1.5964902108670756E-4</v>
      </c>
      <c r="AS28" s="8"/>
      <c r="AU28" t="s">
        <v>17</v>
      </c>
      <c r="AV28">
        <v>69396.2</v>
      </c>
      <c r="AW28" s="8">
        <v>1299080000</v>
      </c>
      <c r="AX28">
        <v>10024.9</v>
      </c>
      <c r="AY28" s="91">
        <f t="shared" ref="AY28:AY31" si="172">AW28*AU$49</f>
        <v>56535961.600000001</v>
      </c>
      <c r="AZ28" s="91">
        <f t="shared" ref="AZ28:AZ31" si="173">AW28*AX28*AU$48</f>
        <v>133331080.34282736</v>
      </c>
      <c r="BA28" s="8">
        <f>SUM(AY28:AZ28)*0.000000000001</f>
        <v>1.8986704194282736E-4</v>
      </c>
      <c r="BB28" s="91">
        <f t="shared" ref="BB28:BB31" si="174">AW28*AU$50*0.000000000001</f>
        <v>1.2305465921034358E-4</v>
      </c>
      <c r="BE28" t="s">
        <v>47</v>
      </c>
      <c r="BG28" t="s">
        <v>1</v>
      </c>
      <c r="BH28">
        <v>1147760.8400000008</v>
      </c>
      <c r="BI28" s="8">
        <v>27261617556.550003</v>
      </c>
      <c r="BJ28" s="2">
        <v>3240</v>
      </c>
      <c r="BK28" s="91">
        <f t="shared" si="157"/>
        <v>1186425596.0610561</v>
      </c>
      <c r="BL28" s="91">
        <f t="shared" si="158"/>
        <v>904299068.41240168</v>
      </c>
      <c r="BM28" s="8">
        <f t="shared" ref="BM28:BM29" si="175">SUM(BK28:BL28)*0.000000000001</f>
        <v>2.0907246644734576E-3</v>
      </c>
      <c r="BN28" s="91">
        <f t="shared" si="159"/>
        <v>1.8919074752553353E-3</v>
      </c>
      <c r="BO28" s="8">
        <f t="shared" ref="BO28:BO29" si="176">BN28-BM28</f>
        <v>-1.9881718921812229E-4</v>
      </c>
      <c r="BP28" s="10"/>
      <c r="BR28" s="1" t="s">
        <v>27</v>
      </c>
      <c r="BV28" s="8">
        <f t="shared" ref="BV28" si="177">SUM(BV26:BV27)</f>
        <v>224577160.78080004</v>
      </c>
      <c r="BW28" s="8">
        <f t="shared" ref="BW28" si="178">SUM(BW26:BW27)</f>
        <v>80547326.961183295</v>
      </c>
      <c r="BX28" s="8">
        <f>SUM(BX26:BX27)</f>
        <v>3.0512448774198335E-4</v>
      </c>
      <c r="BY28" s="8">
        <f>SUM(BY26:BY27)</f>
        <v>2.0756360684420013E-4</v>
      </c>
      <c r="BZ28" s="8">
        <f>BY28-BX28</f>
        <v>-9.7560880897783219E-5</v>
      </c>
      <c r="CA28" s="8"/>
      <c r="CC28" t="s">
        <v>17</v>
      </c>
      <c r="CD28">
        <v>69396.2</v>
      </c>
      <c r="CE28" s="8">
        <v>1299080000</v>
      </c>
      <c r="CF28">
        <v>10024.9</v>
      </c>
      <c r="CG28" s="8">
        <f>CE28*$M$49</f>
        <v>56535961.600000001</v>
      </c>
      <c r="CH28" s="8">
        <f>CE28*CF28*$M$48</f>
        <v>133331080.34282736</v>
      </c>
      <c r="CI28" s="8">
        <f>SUM(CG28:CH28)*0.000000000001</f>
        <v>1.8986704194282736E-4</v>
      </c>
      <c r="CJ28" s="8">
        <f>CE28*$M$50*0.000000000001</f>
        <v>1.2623362375237989E-4</v>
      </c>
      <c r="CM28" t="s">
        <v>47</v>
      </c>
      <c r="CO28" t="s">
        <v>1</v>
      </c>
      <c r="CP28">
        <v>1147760.8400000008</v>
      </c>
      <c r="CQ28" s="8">
        <v>27261617556.550003</v>
      </c>
      <c r="CR28" s="2">
        <v>3240</v>
      </c>
      <c r="CS28" s="91">
        <f t="shared" si="160"/>
        <v>1186425596.0610561</v>
      </c>
      <c r="CT28" s="91">
        <f t="shared" si="161"/>
        <v>904299068.41240168</v>
      </c>
      <c r="CU28" s="91">
        <f t="shared" si="162"/>
        <v>2.0907246644734576E-3</v>
      </c>
      <c r="CV28" s="91">
        <f t="shared" si="163"/>
        <v>2.5974134755366498E-3</v>
      </c>
      <c r="CW28" s="8">
        <f t="shared" ref="CW28:CW29" si="179">CV28-CU28</f>
        <v>5.0668881106319223E-4</v>
      </c>
    </row>
    <row r="29" spans="1:101" x14ac:dyDescent="0.35">
      <c r="D29" s="3"/>
      <c r="M29" t="s">
        <v>16</v>
      </c>
      <c r="N29">
        <v>53119.7</v>
      </c>
      <c r="O29" s="8">
        <v>1329750000</v>
      </c>
      <c r="P29">
        <v>4900.57</v>
      </c>
      <c r="Q29" s="8">
        <f t="shared" ref="Q29:Q31" si="180">O29*$M$49</f>
        <v>57870720.000000007</v>
      </c>
      <c r="R29" s="8">
        <f t="shared" ref="R29:R31" si="181">O29*P29*$M$48</f>
        <v>66716314.66459021</v>
      </c>
      <c r="S29" s="8">
        <f t="shared" ref="S29:S31" si="182">SUM(Q29:R29)*0.000000000001</f>
        <v>1.2458703466459021E-4</v>
      </c>
      <c r="T29" s="8">
        <f t="shared" ref="T29:T31" si="183">O29*$M$50*0.000000000001</f>
        <v>1.2921387534618896E-4</v>
      </c>
      <c r="W29" t="s">
        <v>43</v>
      </c>
      <c r="Y29" t="s">
        <v>1</v>
      </c>
      <c r="Z29">
        <v>1147760.8400000008</v>
      </c>
      <c r="AA29" s="8">
        <v>27261617556.550003</v>
      </c>
      <c r="AB29">
        <v>19095.3</v>
      </c>
      <c r="AC29" s="8">
        <f t="shared" si="165"/>
        <v>1186425596.0610561</v>
      </c>
      <c r="AD29" s="8">
        <f t="shared" si="166"/>
        <v>5329587037.3627567</v>
      </c>
      <c r="AE29" s="8">
        <f t="shared" si="167"/>
        <v>6.5160126334238124E-3</v>
      </c>
      <c r="AF29" s="8">
        <f t="shared" si="168"/>
        <v>2.194264165490227E-3</v>
      </c>
      <c r="AG29" s="8">
        <f t="shared" si="169"/>
        <v>-4.3217484679335854E-3</v>
      </c>
      <c r="AH29" s="10"/>
      <c r="AL29" s="3"/>
      <c r="AU29" t="s">
        <v>16</v>
      </c>
      <c r="AV29">
        <v>53119.7</v>
      </c>
      <c r="AW29" s="8">
        <v>1329750000</v>
      </c>
      <c r="AX29">
        <v>4900.57</v>
      </c>
      <c r="AY29" s="91">
        <f t="shared" si="172"/>
        <v>57870720.000000007</v>
      </c>
      <c r="AZ29" s="91">
        <f t="shared" si="173"/>
        <v>66716314.66459021</v>
      </c>
      <c r="BA29" s="8">
        <f t="shared" ref="BA29:BA31" si="184">SUM(AY29:AZ29)*0.000000000001</f>
        <v>1.2458703466459021E-4</v>
      </c>
      <c r="BB29" s="91">
        <f t="shared" si="174"/>
        <v>1.2595985858065276E-4</v>
      </c>
      <c r="BE29" t="s">
        <v>43</v>
      </c>
      <c r="BG29" t="s">
        <v>1</v>
      </c>
      <c r="BH29">
        <v>1147760.8400000008</v>
      </c>
      <c r="BI29" s="8">
        <v>27261617556.550003</v>
      </c>
      <c r="BJ29">
        <v>19095.3</v>
      </c>
      <c r="BK29" s="91">
        <f t="shared" si="157"/>
        <v>1186425596.0610561</v>
      </c>
      <c r="BL29" s="91">
        <f t="shared" si="158"/>
        <v>5329587037.3627567</v>
      </c>
      <c r="BM29" s="8">
        <f t="shared" si="175"/>
        <v>6.5160126334238124E-3</v>
      </c>
      <c r="BN29" s="91">
        <f t="shared" si="159"/>
        <v>1.8919074752553353E-3</v>
      </c>
      <c r="BO29" s="8">
        <f t="shared" si="176"/>
        <v>-4.6241051581684773E-3</v>
      </c>
      <c r="BP29" s="10"/>
      <c r="BT29" s="3"/>
      <c r="CC29" t="s">
        <v>16</v>
      </c>
      <c r="CD29">
        <v>53119.7</v>
      </c>
      <c r="CE29" s="8">
        <v>1329750000</v>
      </c>
      <c r="CF29">
        <v>4900.57</v>
      </c>
      <c r="CG29" s="8">
        <f t="shared" ref="CG29:CG31" si="185">CE29*$M$49</f>
        <v>57870720.000000007</v>
      </c>
      <c r="CH29" s="8">
        <f t="shared" ref="CH29:CH31" si="186">CE29*CF29*$M$48</f>
        <v>66716314.66459021</v>
      </c>
      <c r="CI29" s="8">
        <f t="shared" ref="CI29:CI31" si="187">SUM(CG29:CH29)*0.000000000001</f>
        <v>1.2458703466459021E-4</v>
      </c>
      <c r="CJ29" s="8">
        <f t="shared" ref="CJ29:CJ31" si="188">CE29*$M$50*0.000000000001</f>
        <v>1.2921387534618896E-4</v>
      </c>
      <c r="CM29" t="s">
        <v>43</v>
      </c>
      <c r="CO29" t="s">
        <v>1</v>
      </c>
      <c r="CP29">
        <v>1147760.8400000008</v>
      </c>
      <c r="CQ29" s="8">
        <v>27261617556.550003</v>
      </c>
      <c r="CR29">
        <v>19095.3</v>
      </c>
      <c r="CS29" s="91">
        <f t="shared" si="160"/>
        <v>1186425596.0610561</v>
      </c>
      <c r="CT29" s="91">
        <f t="shared" si="161"/>
        <v>5329587037.3627567</v>
      </c>
      <c r="CU29" s="91">
        <f t="shared" si="162"/>
        <v>6.5160126334238124E-3</v>
      </c>
      <c r="CV29" s="91">
        <f t="shared" si="163"/>
        <v>2.5974134755366498E-3</v>
      </c>
      <c r="CW29" s="8">
        <f t="shared" si="179"/>
        <v>-3.9185991578871626E-3</v>
      </c>
    </row>
    <row r="30" spans="1:101" ht="16.5" x14ac:dyDescent="0.45">
      <c r="D30" s="3"/>
      <c r="E30" s="104" t="s">
        <v>49</v>
      </c>
      <c r="F30" s="1" t="s">
        <v>26</v>
      </c>
      <c r="G30" s="1" t="s">
        <v>25</v>
      </c>
      <c r="H30" s="1" t="s">
        <v>40</v>
      </c>
      <c r="I30" s="1" t="s">
        <v>40</v>
      </c>
      <c r="J30" s="19" t="s">
        <v>46</v>
      </c>
      <c r="M30" t="s">
        <v>18</v>
      </c>
      <c r="N30">
        <v>29785.43</v>
      </c>
      <c r="O30" s="8">
        <v>701646000</v>
      </c>
      <c r="P30">
        <v>4511.93</v>
      </c>
      <c r="Q30" s="8">
        <f t="shared" si="180"/>
        <v>30535633.920000002</v>
      </c>
      <c r="R30" s="8">
        <f t="shared" si="181"/>
        <v>32411255.855071343</v>
      </c>
      <c r="S30" s="8">
        <f t="shared" si="182"/>
        <v>6.2946889775071347E-5</v>
      </c>
      <c r="T30" s="8">
        <f t="shared" si="183"/>
        <v>6.8180032924348267E-5</v>
      </c>
      <c r="AL30" s="3"/>
      <c r="AM30" s="104" t="s">
        <v>49</v>
      </c>
      <c r="AN30" s="1" t="s">
        <v>26</v>
      </c>
      <c r="AO30" s="1" t="s">
        <v>25</v>
      </c>
      <c r="AP30" s="1" t="s">
        <v>40</v>
      </c>
      <c r="AQ30" s="1" t="s">
        <v>40</v>
      </c>
      <c r="AR30" s="19" t="s">
        <v>46</v>
      </c>
      <c r="AU30" t="s">
        <v>18</v>
      </c>
      <c r="AV30">
        <v>29785.43</v>
      </c>
      <c r="AW30" s="8">
        <v>701646000</v>
      </c>
      <c r="AX30">
        <v>4511.93</v>
      </c>
      <c r="AY30" s="91">
        <f t="shared" si="172"/>
        <v>30535633.920000002</v>
      </c>
      <c r="AZ30" s="91">
        <f t="shared" si="173"/>
        <v>32411255.855071343</v>
      </c>
      <c r="BA30" s="8">
        <f t="shared" si="184"/>
        <v>6.2946889775071347E-5</v>
      </c>
      <c r="BB30" s="91">
        <f t="shared" si="174"/>
        <v>6.6463042627321449E-5</v>
      </c>
      <c r="BT30" s="3"/>
      <c r="BU30" s="104" t="s">
        <v>49</v>
      </c>
      <c r="BV30" s="1" t="s">
        <v>26</v>
      </c>
      <c r="BW30" s="1" t="s">
        <v>25</v>
      </c>
      <c r="BX30" s="1" t="s">
        <v>40</v>
      </c>
      <c r="BY30" s="1" t="s">
        <v>40</v>
      </c>
      <c r="BZ30" s="19" t="s">
        <v>46</v>
      </c>
      <c r="CC30" t="s">
        <v>18</v>
      </c>
      <c r="CD30">
        <v>29785.43</v>
      </c>
      <c r="CE30" s="8">
        <v>701646000</v>
      </c>
      <c r="CF30">
        <v>4511.93</v>
      </c>
      <c r="CG30" s="8">
        <f t="shared" si="185"/>
        <v>30535633.920000002</v>
      </c>
      <c r="CH30" s="8">
        <f t="shared" si="186"/>
        <v>32411255.855071343</v>
      </c>
      <c r="CI30" s="8">
        <f t="shared" si="187"/>
        <v>6.2946889775071347E-5</v>
      </c>
      <c r="CJ30" s="8">
        <f t="shared" si="188"/>
        <v>6.8180032924348267E-5</v>
      </c>
    </row>
    <row r="31" spans="1:101" ht="16.5" x14ac:dyDescent="0.45">
      <c r="A31" s="3" t="s">
        <v>48</v>
      </c>
      <c r="B31" s="8">
        <f>36100000*0.000000001</f>
        <v>3.61E-2</v>
      </c>
      <c r="C31" s="8">
        <f>((I8-H8)/B31)*100</f>
        <v>-0.49806967133209973</v>
      </c>
      <c r="E31" s="104"/>
      <c r="F31" s="1" t="s">
        <v>42</v>
      </c>
      <c r="G31" s="1" t="s">
        <v>42</v>
      </c>
      <c r="H31" s="1" t="s">
        <v>42</v>
      </c>
      <c r="I31" s="1" t="s">
        <v>42</v>
      </c>
      <c r="J31" s="1" t="s">
        <v>42</v>
      </c>
      <c r="M31" t="s">
        <v>19</v>
      </c>
      <c r="N31">
        <v>4713.3500000000004</v>
      </c>
      <c r="O31" s="8">
        <v>71066200</v>
      </c>
      <c r="P31">
        <v>13389.8</v>
      </c>
      <c r="Q31" s="8">
        <f t="shared" si="180"/>
        <v>3092801.0240000002</v>
      </c>
      <c r="R31" s="8">
        <f t="shared" si="181"/>
        <v>9742101.1893500239</v>
      </c>
      <c r="S31" s="8">
        <f t="shared" si="182"/>
        <v>1.2834902213350024E-5</v>
      </c>
      <c r="T31" s="8">
        <f t="shared" si="183"/>
        <v>6.9056131664804169E-6</v>
      </c>
      <c r="AB31" s="105" t="s">
        <v>50</v>
      </c>
      <c r="AC31" s="1" t="s">
        <v>26</v>
      </c>
      <c r="AD31" s="1" t="s">
        <v>25</v>
      </c>
      <c r="AE31" s="1" t="s">
        <v>40</v>
      </c>
      <c r="AF31" s="1" t="s">
        <v>40</v>
      </c>
      <c r="AG31" s="19" t="s">
        <v>46</v>
      </c>
      <c r="AH31" s="27"/>
      <c r="AI31" s="3" t="s">
        <v>48</v>
      </c>
      <c r="AJ31" s="8">
        <f>36100000*0.000000001</f>
        <v>3.61E-2</v>
      </c>
      <c r="AK31" s="8">
        <f>((AQ8-AP8)/AJ31)*100</f>
        <v>-0.55064686511057337</v>
      </c>
      <c r="AM31" s="104"/>
      <c r="AN31" s="1" t="s">
        <v>42</v>
      </c>
      <c r="AO31" s="1" t="s">
        <v>42</v>
      </c>
      <c r="AP31" s="1" t="s">
        <v>42</v>
      </c>
      <c r="AQ31" s="1" t="s">
        <v>42</v>
      </c>
      <c r="AR31" s="1" t="s">
        <v>42</v>
      </c>
      <c r="AU31" t="s">
        <v>19</v>
      </c>
      <c r="AV31">
        <v>4713.3500000000004</v>
      </c>
      <c r="AW31" s="8">
        <v>71066200</v>
      </c>
      <c r="AX31">
        <v>13389.8</v>
      </c>
      <c r="AY31" s="91">
        <f t="shared" si="172"/>
        <v>3092801.0240000002</v>
      </c>
      <c r="AZ31" s="91">
        <f t="shared" si="173"/>
        <v>9742101.1893500239</v>
      </c>
      <c r="BA31" s="8">
        <f t="shared" si="184"/>
        <v>1.2834902213350024E-5</v>
      </c>
      <c r="BB31" s="91">
        <f t="shared" si="174"/>
        <v>6.7317078412215714E-6</v>
      </c>
      <c r="BJ31" s="105" t="s">
        <v>50</v>
      </c>
      <c r="BK31" s="1" t="s">
        <v>26</v>
      </c>
      <c r="BL31" s="1" t="s">
        <v>25</v>
      </c>
      <c r="BM31" s="1" t="s">
        <v>40</v>
      </c>
      <c r="BN31" s="1" t="s">
        <v>40</v>
      </c>
      <c r="BO31" s="19" t="s">
        <v>46</v>
      </c>
      <c r="BP31" s="27"/>
      <c r="BQ31" s="3" t="s">
        <v>48</v>
      </c>
      <c r="BR31" s="8">
        <f>36100000*0.000000001</f>
        <v>3.61E-2</v>
      </c>
      <c r="BS31" s="8">
        <f>((BY8-BX8)/BR31)*100</f>
        <v>-0.33638160732863798</v>
      </c>
      <c r="BU31" s="104"/>
      <c r="BV31" s="1" t="s">
        <v>42</v>
      </c>
      <c r="BW31" s="1" t="s">
        <v>42</v>
      </c>
      <c r="BX31" s="1" t="s">
        <v>42</v>
      </c>
      <c r="BY31" s="1" t="s">
        <v>42</v>
      </c>
      <c r="BZ31" s="1" t="s">
        <v>42</v>
      </c>
      <c r="CC31" t="s">
        <v>19</v>
      </c>
      <c r="CD31">
        <v>4713.3500000000004</v>
      </c>
      <c r="CE31" s="8">
        <v>71066200</v>
      </c>
      <c r="CF31">
        <v>13389.8</v>
      </c>
      <c r="CG31" s="8">
        <f t="shared" si="185"/>
        <v>3092801.0240000002</v>
      </c>
      <c r="CH31" s="8">
        <f t="shared" si="186"/>
        <v>9742101.1893500239</v>
      </c>
      <c r="CI31" s="8">
        <f t="shared" si="187"/>
        <v>1.2834902213350024E-5</v>
      </c>
      <c r="CJ31" s="8">
        <f t="shared" si="188"/>
        <v>6.9056131664804169E-6</v>
      </c>
      <c r="CR31" s="105" t="s">
        <v>50</v>
      </c>
      <c r="CS31" s="1" t="s">
        <v>26</v>
      </c>
      <c r="CT31" s="1" t="s">
        <v>25</v>
      </c>
      <c r="CU31" s="1" t="s">
        <v>40</v>
      </c>
      <c r="CV31" s="1" t="s">
        <v>40</v>
      </c>
      <c r="CW31" s="19" t="s">
        <v>46</v>
      </c>
    </row>
    <row r="32" spans="1:101" ht="14.5" customHeight="1" x14ac:dyDescent="0.35">
      <c r="D32" s="3"/>
      <c r="E32" s="104"/>
      <c r="F32" s="8">
        <f>MIN(F8,F12,F16,F20,F24,F28)</f>
        <v>177954542.08000001</v>
      </c>
      <c r="G32" s="8">
        <f>MIN(G8,G12,G16,G20,G24,G28)</f>
        <v>64053387.927380897</v>
      </c>
      <c r="H32" s="8">
        <f>MIN(H8,H12,H16,H20,H24,H28)</f>
        <v>2.420079300073809E-4</v>
      </c>
      <c r="I32" s="8">
        <f>MIN(I8,I12,I16,I20,I24,I28)</f>
        <v>1.273470164955313E-4</v>
      </c>
      <c r="J32" s="8">
        <f>MIN(J8,J12,J16,J20,J24,J28)</f>
        <v>-1.7980315135088801E-4</v>
      </c>
      <c r="K32" s="8"/>
      <c r="M32" s="1" t="s">
        <v>27</v>
      </c>
      <c r="O32" s="8"/>
      <c r="Q32" s="8">
        <f>SUM(Q28:Q31)</f>
        <v>148035116.544</v>
      </c>
      <c r="R32" s="8">
        <f t="shared" ref="R32:T32" si="189">SUM(R28:R31)</f>
        <v>242200752.05183893</v>
      </c>
      <c r="S32" s="8">
        <f t="shared" si="189"/>
        <v>3.9023586859583898E-4</v>
      </c>
      <c r="T32" s="8">
        <f t="shared" si="189"/>
        <v>3.3053314518939749E-4</v>
      </c>
      <c r="U32" s="8">
        <f>T32-S32</f>
        <v>-5.9702723406441485E-5</v>
      </c>
      <c r="V32" s="8"/>
      <c r="AB32" s="105"/>
      <c r="AC32" s="1" t="s">
        <v>42</v>
      </c>
      <c r="AD32" s="1" t="s">
        <v>42</v>
      </c>
      <c r="AE32" s="1" t="s">
        <v>42</v>
      </c>
      <c r="AF32" s="1" t="s">
        <v>42</v>
      </c>
      <c r="AG32" s="1" t="s">
        <v>42</v>
      </c>
      <c r="AH32" s="28"/>
      <c r="AL32" s="3"/>
      <c r="AM32" s="104"/>
      <c r="AN32" s="8">
        <f>MIN(AN8,AN12,AN16,AN20,AN24,AN28)</f>
        <v>177954542.08000001</v>
      </c>
      <c r="AO32" s="8">
        <f>MIN(AO8,AO12,AO16,AO20,AO24,AO28)</f>
        <v>64053387.927380897</v>
      </c>
      <c r="AP32" s="8">
        <f>MIN(AP8,AP12,AP16,AP20,AP24,AP28)</f>
        <v>2.420079300073809E-4</v>
      </c>
      <c r="AQ32" s="8">
        <f>MIN(AQ8,AQ12,AQ16,AQ20,AQ24,AQ28)</f>
        <v>1.1527450058816125E-4</v>
      </c>
      <c r="AR32" s="8">
        <f>MIN(AR8,AR12,AR16,AR20,AR24,AR28)</f>
        <v>-1.9878351830491695E-4</v>
      </c>
      <c r="AS32" s="8"/>
      <c r="AU32" s="1" t="s">
        <v>27</v>
      </c>
      <c r="AW32" s="8"/>
      <c r="AY32" s="8">
        <f>SUM(AY28:AY31)</f>
        <v>148035116.544</v>
      </c>
      <c r="AZ32" s="8">
        <f t="shared" ref="AZ32" si="190">SUM(AZ28:AZ31)</f>
        <v>242200752.05183893</v>
      </c>
      <c r="BA32" s="8">
        <f t="shared" ref="BA32" si="191">SUM(BA28:BA31)</f>
        <v>3.9023586859583898E-4</v>
      </c>
      <c r="BB32" s="8">
        <f t="shared" ref="BB32" si="192">SUM(BB28:BB31)</f>
        <v>3.2220926825953937E-4</v>
      </c>
      <c r="BC32" s="8">
        <f>BB32-BA32</f>
        <v>-6.8026600336299609E-5</v>
      </c>
      <c r="BD32" s="8"/>
      <c r="BJ32" s="105"/>
      <c r="BK32" s="1" t="s">
        <v>42</v>
      </c>
      <c r="BL32" s="1" t="s">
        <v>42</v>
      </c>
      <c r="BM32" s="1" t="s">
        <v>42</v>
      </c>
      <c r="BN32" s="1" t="s">
        <v>42</v>
      </c>
      <c r="BO32" s="1" t="s">
        <v>42</v>
      </c>
      <c r="BP32" s="28"/>
      <c r="BT32" s="3"/>
      <c r="BU32" s="104"/>
      <c r="BV32" s="8">
        <f>MIN(BV8,BV12,BV16,BV20,BV24,BV28)</f>
        <v>177954542.08000001</v>
      </c>
      <c r="BW32" s="8">
        <f>MIN(BW8,BW12,BW16,BW20,BW24,BW28)</f>
        <v>64053387.927380897</v>
      </c>
      <c r="BX32" s="8">
        <f>MIN(BX8,BX12,BX16,BX20,BX24,BX28)</f>
        <v>2.420079300073809E-4</v>
      </c>
      <c r="BY32" s="8">
        <f>MIN(BY8,BY12,BY16,BY20,BY24,BY28)</f>
        <v>1.6447303225320084E-4</v>
      </c>
      <c r="BZ32" s="8">
        <f>MIN(BZ8,BZ12,BZ16,BZ20,BZ24,BZ28)</f>
        <v>-1.2143376024563831E-4</v>
      </c>
      <c r="CA32" s="8"/>
      <c r="CC32" s="1" t="s">
        <v>27</v>
      </c>
      <c r="CE32" s="8"/>
      <c r="CG32" s="8">
        <f>SUM(CG28:CG31)</f>
        <v>148035116.544</v>
      </c>
      <c r="CH32" s="8">
        <f t="shared" ref="CH32" si="193">SUM(CH28:CH31)</f>
        <v>242200752.05183893</v>
      </c>
      <c r="CI32" s="8">
        <f t="shared" ref="CI32" si="194">SUM(CI28:CI31)</f>
        <v>3.9023586859583898E-4</v>
      </c>
      <c r="CJ32" s="8">
        <f t="shared" ref="CJ32" si="195">SUM(CJ28:CJ31)</f>
        <v>3.3053314518939749E-4</v>
      </c>
      <c r="CK32" s="8">
        <f>CJ32-CI32</f>
        <v>-5.9702723406441485E-5</v>
      </c>
      <c r="CL32" s="8"/>
      <c r="CR32" s="105"/>
      <c r="CS32" s="1" t="s">
        <v>42</v>
      </c>
      <c r="CT32" s="1" t="s">
        <v>42</v>
      </c>
      <c r="CU32" s="1" t="s">
        <v>42</v>
      </c>
      <c r="CV32" s="1" t="s">
        <v>42</v>
      </c>
      <c r="CW32" s="1" t="s">
        <v>42</v>
      </c>
    </row>
    <row r="33" spans="1:101" x14ac:dyDescent="0.35">
      <c r="D33" s="3"/>
      <c r="E33" s="104"/>
      <c r="F33" s="1" t="s">
        <v>41</v>
      </c>
      <c r="G33" s="1" t="s">
        <v>41</v>
      </c>
      <c r="H33" s="1" t="s">
        <v>41</v>
      </c>
      <c r="I33" s="1" t="s">
        <v>41</v>
      </c>
      <c r="J33" s="1" t="s">
        <v>41</v>
      </c>
      <c r="L33">
        <v>2020</v>
      </c>
      <c r="M33" t="s">
        <v>22</v>
      </c>
      <c r="N33">
        <v>139132.1</v>
      </c>
      <c r="O33" s="8">
        <v>3396870000</v>
      </c>
      <c r="AB33" s="105"/>
      <c r="AC33" s="8">
        <f>MIN(AC6:AC7,AC10:AC11,AC14:AC15,AC18:AC19,AC23:AC24,AC27:AC28)</f>
        <v>677439352.00512016</v>
      </c>
      <c r="AD33" s="8">
        <f t="shared" ref="AD33:AG33" si="196">MIN(AD6:AD7,AD10:AD11,AD14:AD15,AD18:AD19,AD23:AD24,AD27:AD28)</f>
        <v>6112103.0119932434</v>
      </c>
      <c r="AE33" s="8">
        <f t="shared" si="196"/>
        <v>6.8355145501711341E-4</v>
      </c>
      <c r="AF33" s="8">
        <f t="shared" si="196"/>
        <v>1.2529069663811078E-3</v>
      </c>
      <c r="AG33" s="8">
        <f t="shared" si="196"/>
        <v>5.9120211759258311E-5</v>
      </c>
      <c r="AL33" s="3"/>
      <c r="AM33" s="104"/>
      <c r="AN33" s="1" t="s">
        <v>41</v>
      </c>
      <c r="AO33" s="1" t="s">
        <v>41</v>
      </c>
      <c r="AP33" s="1" t="s">
        <v>41</v>
      </c>
      <c r="AQ33" s="1" t="s">
        <v>41</v>
      </c>
      <c r="AR33" s="1" t="s">
        <v>41</v>
      </c>
      <c r="AT33">
        <v>2020</v>
      </c>
      <c r="AU33" t="s">
        <v>22</v>
      </c>
      <c r="AV33">
        <v>139132.1</v>
      </c>
      <c r="AW33" s="8">
        <v>3396870000</v>
      </c>
      <c r="BJ33" s="105"/>
      <c r="BK33" s="8">
        <f>MIN(BK6,BK10,BK14,BK18,BK23,BK27)</f>
        <v>677439352.00512016</v>
      </c>
      <c r="BL33" s="91">
        <f t="shared" ref="BL33:BO33" si="197">MIN(BL6,BL10,BL14,BL18,BL23,BL27)</f>
        <v>6112103.0119932434</v>
      </c>
      <c r="BM33" s="91">
        <f t="shared" si="197"/>
        <v>6.8355145501711341E-4</v>
      </c>
      <c r="BN33" s="91">
        <f t="shared" si="197"/>
        <v>1.0802637589291024E-3</v>
      </c>
      <c r="BO33" s="91">
        <f t="shared" si="197"/>
        <v>3.9671230391198902E-4</v>
      </c>
      <c r="BT33" s="3"/>
      <c r="BU33" s="104"/>
      <c r="BV33" s="1" t="s">
        <v>41</v>
      </c>
      <c r="BW33" s="1" t="s">
        <v>41</v>
      </c>
      <c r="BX33" s="1" t="s">
        <v>41</v>
      </c>
      <c r="BY33" s="1" t="s">
        <v>41</v>
      </c>
      <c r="BZ33" s="1" t="s">
        <v>41</v>
      </c>
      <c r="CB33">
        <v>2020</v>
      </c>
      <c r="CC33" t="s">
        <v>22</v>
      </c>
      <c r="CD33">
        <v>139132.1</v>
      </c>
      <c r="CE33" s="8">
        <v>3396870000</v>
      </c>
      <c r="CR33" s="105"/>
      <c r="CS33" s="8">
        <f>MIN(CS6:CS7,CS10:CS11,CS14:CS15,CS18:CS19,CS23:CS24,CS27:CS28)</f>
        <v>677439352.00512016</v>
      </c>
      <c r="CT33" s="8">
        <f t="shared" ref="CT33:CW33" si="198">MIN(CT6:CT7,CT10:CT11,CT14:CT15,CT18:CT19,CT23:CT24,CT27:CT28)</f>
        <v>6112103.0119932434</v>
      </c>
      <c r="CU33" s="8">
        <f t="shared" si="198"/>
        <v>6.8355145501711341E-4</v>
      </c>
      <c r="CV33" s="8">
        <f t="shared" si="198"/>
        <v>1.4831019387973171E-3</v>
      </c>
      <c r="CW33" s="8">
        <f t="shared" si="198"/>
        <v>2.8931518417546769E-4</v>
      </c>
    </row>
    <row r="34" spans="1:101" x14ac:dyDescent="0.35">
      <c r="A34" t="s">
        <v>36</v>
      </c>
      <c r="B34" t="s">
        <v>39</v>
      </c>
      <c r="C34" t="s">
        <v>9</v>
      </c>
      <c r="D34" s="3"/>
      <c r="E34" s="104"/>
      <c r="F34" s="8">
        <f>MEDIAN(F8,F12,F16,F20,F24,F28)</f>
        <v>233744109.35040003</v>
      </c>
      <c r="G34" s="8">
        <f>MEDIAN(G8,G12,G16,G20,G24,G28)</f>
        <v>83963275.769117117</v>
      </c>
      <c r="H34" s="8">
        <f>MEDIAN(H8,H12,H16,H20,H24,H28)</f>
        <v>3.1770738511951709E-4</v>
      </c>
      <c r="I34" s="8">
        <f>MEDIAN(I8,I12,I16,I20,I24,I28)</f>
        <v>1.6727089177525451E-4</v>
      </c>
      <c r="J34" s="8">
        <f>MEDIAN(J8,J12,J16,J20,J24,J28)</f>
        <v>-1.5043649334426257E-4</v>
      </c>
      <c r="K34" s="8"/>
      <c r="M34" t="s">
        <v>17</v>
      </c>
      <c r="N34">
        <v>60926.9</v>
      </c>
      <c r="O34" s="8">
        <v>1260650000</v>
      </c>
      <c r="P34">
        <v>10024.9</v>
      </c>
      <c r="Q34" s="8">
        <f>O34*$M$49</f>
        <v>54863488.000000007</v>
      </c>
      <c r="R34" s="8">
        <f>O34*P34*$M$48</f>
        <v>129386817.15843929</v>
      </c>
      <c r="S34" s="8">
        <f>SUM(Q34:R34)*0.000000000001</f>
        <v>1.842503051584393E-4</v>
      </c>
      <c r="T34" s="8">
        <f>O34*$M$50*0.000000000001</f>
        <v>1.2249932089127515E-4</v>
      </c>
      <c r="AB34" s="105"/>
      <c r="AC34" s="1" t="s">
        <v>41</v>
      </c>
      <c r="AD34" s="1" t="s">
        <v>41</v>
      </c>
      <c r="AE34" s="1" t="s">
        <v>41</v>
      </c>
      <c r="AF34" s="1" t="s">
        <v>41</v>
      </c>
      <c r="AG34" s="1" t="s">
        <v>41</v>
      </c>
      <c r="AH34" s="28"/>
      <c r="AI34" t="s">
        <v>36</v>
      </c>
      <c r="AJ34" t="s">
        <v>39</v>
      </c>
      <c r="AK34" t="s">
        <v>9</v>
      </c>
      <c r="AL34" s="3"/>
      <c r="AM34" s="104"/>
      <c r="AN34" s="8">
        <f>MEDIAN(AN8,AN12,AN16,AN20,AN24,AN28)</f>
        <v>233744109.35040003</v>
      </c>
      <c r="AO34" s="8">
        <f>MEDIAN(AO8,AO12,AO16,AO20,AO24,AO28)</f>
        <v>83963275.769117117</v>
      </c>
      <c r="AP34" s="8">
        <f>MEDIAN(AP8,AP12,AP16,AP20,AP24,AP28)</f>
        <v>3.1770738511951709E-4</v>
      </c>
      <c r="AQ34" s="8">
        <f>MEDIAN(AQ8,AQ12,AQ16,AQ20,AQ24,AQ28)</f>
        <v>1.5141358661516392E-4</v>
      </c>
      <c r="AR34" s="8">
        <f>MEDIAN(AR8,AR12,AR16,AR20,AR24,AR28)</f>
        <v>-1.6629379850435322E-4</v>
      </c>
      <c r="AS34" s="8"/>
      <c r="AU34" t="s">
        <v>17</v>
      </c>
      <c r="AV34">
        <v>60926.9</v>
      </c>
      <c r="AW34" s="8">
        <v>1260650000</v>
      </c>
      <c r="AX34">
        <v>10024.9</v>
      </c>
      <c r="AY34" s="91">
        <f t="shared" ref="AY34:AY36" si="199">AW34*AU$49</f>
        <v>54863488.000000007</v>
      </c>
      <c r="AZ34" s="91">
        <f t="shared" ref="AZ34:AZ36" si="200">AW34*AX34*AU$48</f>
        <v>129386817.15843929</v>
      </c>
      <c r="BA34" s="8">
        <f>SUM(AY34:AZ34)*0.000000000001</f>
        <v>1.842503051584393E-4</v>
      </c>
      <c r="BB34" s="91">
        <f t="shared" ref="BB34:BB36" si="201">AW34*AU$50*0.000000000001</f>
        <v>1.1941439798435789E-4</v>
      </c>
      <c r="BJ34" s="105"/>
      <c r="BK34" s="1" t="s">
        <v>41</v>
      </c>
      <c r="BL34" s="1" t="s">
        <v>41</v>
      </c>
      <c r="BM34" s="1" t="s">
        <v>41</v>
      </c>
      <c r="BN34" s="1" t="s">
        <v>41</v>
      </c>
      <c r="BO34" s="1" t="s">
        <v>41</v>
      </c>
      <c r="BP34" s="28"/>
      <c r="BQ34" t="s">
        <v>36</v>
      </c>
      <c r="BR34" t="s">
        <v>39</v>
      </c>
      <c r="BS34" t="s">
        <v>9</v>
      </c>
      <c r="BT34" s="3"/>
      <c r="BU34" s="104"/>
      <c r="BV34" s="8">
        <f>MEDIAN(BV8,BV12,BV16,BV20,BV24,BV28)</f>
        <v>233744109.35040003</v>
      </c>
      <c r="BW34" s="8">
        <f>MEDIAN(BW8,BW12,BW16,BW20,BW24,BW28)</f>
        <v>83963275.769117117</v>
      </c>
      <c r="BX34" s="8">
        <f>MEDIAN(BX8,BX12,BX16,BX20,BX24,BX28)</f>
        <v>3.1770738511951709E-4</v>
      </c>
      <c r="BY34" s="8">
        <f>MEDIAN(BY8,BY12,BY16,BY20,BY24,BY28)</f>
        <v>2.1603608419784619E-4</v>
      </c>
      <c r="BZ34" s="8">
        <f>MEDIAN(BZ8,BZ12,BZ16,BZ20,BZ24,BZ28)</f>
        <v>-1.0167130092167092E-4</v>
      </c>
      <c r="CA34" s="8"/>
      <c r="CC34" t="s">
        <v>17</v>
      </c>
      <c r="CD34">
        <v>60926.9</v>
      </c>
      <c r="CE34" s="8">
        <v>1260650000</v>
      </c>
      <c r="CF34">
        <v>10024.9</v>
      </c>
      <c r="CG34" s="8">
        <f>CE34*$M$49</f>
        <v>54863488.000000007</v>
      </c>
      <c r="CH34" s="8">
        <f>CE34*CF34*$M$48</f>
        <v>129386817.15843929</v>
      </c>
      <c r="CI34" s="8">
        <f>SUM(CG34:CH34)*0.000000000001</f>
        <v>1.842503051584393E-4</v>
      </c>
      <c r="CJ34" s="8">
        <f>CE34*$M$50*0.000000000001</f>
        <v>1.2249932089127515E-4</v>
      </c>
      <c r="CR34" s="105"/>
      <c r="CS34" s="1" t="s">
        <v>41</v>
      </c>
      <c r="CT34" s="1" t="s">
        <v>41</v>
      </c>
      <c r="CU34" s="1" t="s">
        <v>41</v>
      </c>
      <c r="CV34" s="1" t="s">
        <v>41</v>
      </c>
      <c r="CW34" s="1" t="s">
        <v>41</v>
      </c>
    </row>
    <row r="35" spans="1:101" x14ac:dyDescent="0.35">
      <c r="A35" t="s">
        <v>30</v>
      </c>
      <c r="B35" s="8">
        <v>1.02380077104966E-5</v>
      </c>
      <c r="C35" t="s">
        <v>10</v>
      </c>
      <c r="E35" s="104"/>
      <c r="F35" s="1" t="s">
        <v>43</v>
      </c>
      <c r="G35" s="1" t="s">
        <v>43</v>
      </c>
      <c r="H35" s="1" t="s">
        <v>43</v>
      </c>
      <c r="I35" s="1" t="s">
        <v>43</v>
      </c>
      <c r="J35" s="1" t="s">
        <v>43</v>
      </c>
      <c r="M35" t="s">
        <v>18</v>
      </c>
      <c r="N35">
        <v>44574.51</v>
      </c>
      <c r="O35" s="8">
        <v>1442260000</v>
      </c>
      <c r="P35">
        <v>4511.93</v>
      </c>
      <c r="Q35" s="8">
        <f t="shared" ref="Q35:Q36" si="202">O35*$M$49</f>
        <v>62767155.200000003</v>
      </c>
      <c r="R35" s="8">
        <f t="shared" ref="R35:R36" si="203">O35*P35*$M$48</f>
        <v>66622567.319610171</v>
      </c>
      <c r="S35" s="8">
        <f t="shared" ref="S35:S36" si="204">SUM(Q35:R35)*0.000000000001</f>
        <v>1.2938972251961016E-4</v>
      </c>
      <c r="T35" s="8">
        <f t="shared" ref="T35:T36" si="205">O35*$M$50*0.000000000001</f>
        <v>1.4014664700642566E-4</v>
      </c>
      <c r="AB35" s="105"/>
      <c r="AC35" s="8">
        <f>MEDIAN(AC6:AC7,AC10:AC11,AC14:AC15,AC18:AC19,AC23:AC24,AC27:AC28)</f>
        <v>1047206670.7603965</v>
      </c>
      <c r="AD35" s="8">
        <f t="shared" ref="AD35:AG35" si="206">MEDIAN(AD6:AD7,AD10:AD11,AD14:AD15,AD18:AD19,AD23:AD24,AD27:AD28)</f>
        <v>263615873.31327337</v>
      </c>
      <c r="AE35" s="8">
        <f t="shared" si="206"/>
        <v>1.2071942155491059E-3</v>
      </c>
      <c r="AF35" s="8">
        <f t="shared" si="206"/>
        <v>1.9367822804402879E-3</v>
      </c>
      <c r="AG35" s="8">
        <f t="shared" si="206"/>
        <v>3.3731796163552643E-4</v>
      </c>
      <c r="AI35" t="s">
        <v>30</v>
      </c>
      <c r="AJ35" s="8">
        <v>1.02380077104966E-5</v>
      </c>
      <c r="AK35" t="s">
        <v>10</v>
      </c>
      <c r="AM35" s="104"/>
      <c r="AN35" s="1" t="s">
        <v>43</v>
      </c>
      <c r="AO35" s="1" t="s">
        <v>43</v>
      </c>
      <c r="AP35" s="1" t="s">
        <v>43</v>
      </c>
      <c r="AQ35" s="1" t="s">
        <v>43</v>
      </c>
      <c r="AR35" s="1" t="s">
        <v>43</v>
      </c>
      <c r="AU35" t="s">
        <v>18</v>
      </c>
      <c r="AV35">
        <v>44574.51</v>
      </c>
      <c r="AW35" s="8">
        <v>1442260000</v>
      </c>
      <c r="AX35">
        <v>4511.93</v>
      </c>
      <c r="AY35" s="91">
        <f t="shared" si="199"/>
        <v>62767155.200000003</v>
      </c>
      <c r="AZ35" s="91">
        <f t="shared" si="200"/>
        <v>66622567.319610171</v>
      </c>
      <c r="BA35" s="8">
        <f t="shared" ref="BA35:BA36" si="207">SUM(AY35:AZ35)*0.000000000001</f>
        <v>1.2938972251961016E-4</v>
      </c>
      <c r="BB35" s="91">
        <f t="shared" si="201"/>
        <v>1.3661730824330307E-4</v>
      </c>
      <c r="BJ35" s="105"/>
      <c r="BK35" s="8">
        <f>MEDIAN(BK6,BK10,BK14,BK18,BK23,BK27)</f>
        <v>1047206670.7603965</v>
      </c>
      <c r="BL35" s="91">
        <f t="shared" ref="BL35:BO35" si="208">MEDIAN(BL6,BL10,BL14,BL18,BL23,BL27)</f>
        <v>9448277.5876380727</v>
      </c>
      <c r="BM35" s="91">
        <f t="shared" si="208"/>
        <v>1.0566549483480344E-3</v>
      </c>
      <c r="BN35" s="91">
        <f t="shared" si="208"/>
        <v>1.6699050788574598E-3</v>
      </c>
      <c r="BO35" s="91">
        <f t="shared" si="208"/>
        <v>6.1325013050942529E-4</v>
      </c>
      <c r="BQ35" t="s">
        <v>30</v>
      </c>
      <c r="BR35" s="8">
        <v>1.02380077104966E-5</v>
      </c>
      <c r="BS35" t="s">
        <v>10</v>
      </c>
      <c r="BU35" s="104"/>
      <c r="BV35" s="1" t="s">
        <v>43</v>
      </c>
      <c r="BW35" s="1" t="s">
        <v>43</v>
      </c>
      <c r="BX35" s="1" t="s">
        <v>43</v>
      </c>
      <c r="BY35" s="1" t="s">
        <v>43</v>
      </c>
      <c r="BZ35" s="1" t="s">
        <v>43</v>
      </c>
      <c r="CC35" t="s">
        <v>18</v>
      </c>
      <c r="CD35">
        <v>44574.51</v>
      </c>
      <c r="CE35" s="8">
        <v>1442260000</v>
      </c>
      <c r="CF35">
        <v>4511.93</v>
      </c>
      <c r="CG35" s="8">
        <f t="shared" ref="CG35:CG36" si="209">CE35*$M$49</f>
        <v>62767155.200000003</v>
      </c>
      <c r="CH35" s="8">
        <f t="shared" ref="CH35:CH36" si="210">CE35*CF35*$M$48</f>
        <v>66622567.319610171</v>
      </c>
      <c r="CI35" s="8">
        <f t="shared" ref="CI35:CI36" si="211">SUM(CG35:CH35)*0.000000000001</f>
        <v>1.2938972251961016E-4</v>
      </c>
      <c r="CJ35" s="8">
        <f t="shared" ref="CJ35:CJ36" si="212">CE35*$M$50*0.000000000001</f>
        <v>1.4014664700642566E-4</v>
      </c>
      <c r="CR35" s="105"/>
      <c r="CS35" s="8">
        <f>MEDIAN(CS6:CS7,CS10:CS11,CS14:CS15,CS18:CS19,CS23:CS24,CS27:CS28)</f>
        <v>1047206670.7603965</v>
      </c>
      <c r="CT35" s="8">
        <f t="shared" ref="CT35:CW35" si="213">MEDIAN(CT6:CT7,CT10:CT11,CT14:CT15,CT18:CT19,CT23:CT24,CT27:CT28)</f>
        <v>263615873.31327337</v>
      </c>
      <c r="CU35" s="8">
        <f t="shared" si="213"/>
        <v>1.2071942155491059E-3</v>
      </c>
      <c r="CV35" s="8">
        <f t="shared" si="213"/>
        <v>2.2926247775970493E-3</v>
      </c>
      <c r="CW35" s="8">
        <f t="shared" si="213"/>
        <v>6.5737937467798746E-4</v>
      </c>
    </row>
    <row r="36" spans="1:101" ht="16" x14ac:dyDescent="0.4">
      <c r="A36" t="s">
        <v>37</v>
      </c>
      <c r="B36" s="17">
        <v>4.3520000000000003E-2</v>
      </c>
      <c r="C36" t="s">
        <v>10</v>
      </c>
      <c r="E36" s="104"/>
      <c r="F36" s="8">
        <f>MAX(F8,F12,F16,F20,F24,F28)</f>
        <v>279779503.76960003</v>
      </c>
      <c r="G36" s="8">
        <f>MAX(G8,G12,G16,G20,G24,G28)</f>
        <v>100238178.01817696</v>
      </c>
      <c r="H36" s="8">
        <f>MAX(H8,H12,H16,H20,H24,H28)</f>
        <v>3.8001768178777702E-4</v>
      </c>
      <c r="I36" s="8">
        <f>MAX(I8,I12,I16,I20,I24,I28)</f>
        <v>2.0021453043688901E-4</v>
      </c>
      <c r="J36" s="8">
        <f>MAX(J8,J12,J16,J20,J24,J28)</f>
        <v>-1.146609135118496E-4</v>
      </c>
      <c r="K36" s="8"/>
      <c r="M36" t="s">
        <v>16</v>
      </c>
      <c r="N36">
        <v>22860.73</v>
      </c>
      <c r="O36" s="8">
        <v>652254000</v>
      </c>
      <c r="P36">
        <v>4900.57</v>
      </c>
      <c r="Q36" s="8">
        <f t="shared" si="202"/>
        <v>28386094.080000002</v>
      </c>
      <c r="R36" s="8">
        <f t="shared" si="203"/>
        <v>32724935.593335304</v>
      </c>
      <c r="S36" s="8">
        <f t="shared" si="204"/>
        <v>6.11110296733353E-5</v>
      </c>
      <c r="T36" s="8">
        <f t="shared" si="205"/>
        <v>6.338053547663331E-5</v>
      </c>
      <c r="X36" t="s">
        <v>36</v>
      </c>
      <c r="Y36" t="s">
        <v>39</v>
      </c>
      <c r="Z36" t="s">
        <v>9</v>
      </c>
      <c r="AB36" s="105"/>
      <c r="AC36" s="1" t="s">
        <v>43</v>
      </c>
      <c r="AD36" s="1" t="s">
        <v>43</v>
      </c>
      <c r="AE36" s="1" t="s">
        <v>43</v>
      </c>
      <c r="AF36" s="1" t="s">
        <v>43</v>
      </c>
      <c r="AG36" s="1" t="s">
        <v>43</v>
      </c>
      <c r="AH36" s="28"/>
      <c r="AI36" t="s">
        <v>37</v>
      </c>
      <c r="AJ36" s="17">
        <v>4.3520000000000003E-2</v>
      </c>
      <c r="AK36" t="s">
        <v>10</v>
      </c>
      <c r="AM36" s="104"/>
      <c r="AN36" s="8">
        <f>MAX(AN8,AN12,AN16,AN20,AN24,AN28)</f>
        <v>279779503.76960003</v>
      </c>
      <c r="AO36" s="8">
        <f>MAX(AO8,AO12,AO16,AO20,AO24,AO28)</f>
        <v>100238178.01817696</v>
      </c>
      <c r="AP36" s="8">
        <f>MAX(AP8,AP12,AP16,AP20,AP24,AP28)</f>
        <v>3.8001768178777702E-4</v>
      </c>
      <c r="AQ36" s="8">
        <f>MAX(AQ8,AQ12,AQ16,AQ20,AQ24,AQ28)</f>
        <v>1.8123416348286007E-4</v>
      </c>
      <c r="AR36" s="8">
        <f>MAX(AR8,AR12,AR16,AR20,AR24,AR28)</f>
        <v>-1.2673342941921966E-4</v>
      </c>
      <c r="AS36" s="8"/>
      <c r="AU36" t="s">
        <v>16</v>
      </c>
      <c r="AV36">
        <v>22860.73</v>
      </c>
      <c r="AW36" s="8">
        <v>652254000</v>
      </c>
      <c r="AX36">
        <v>4900.57</v>
      </c>
      <c r="AY36" s="91">
        <f t="shared" si="199"/>
        <v>28386094.080000002</v>
      </c>
      <c r="AZ36" s="91">
        <f t="shared" si="200"/>
        <v>32724935.593335304</v>
      </c>
      <c r="BA36" s="8">
        <f t="shared" si="207"/>
        <v>6.11110296733353E-5</v>
      </c>
      <c r="BB36" s="91">
        <f t="shared" si="201"/>
        <v>6.1784411805726702E-5</v>
      </c>
      <c r="BF36" t="s">
        <v>36</v>
      </c>
      <c r="BG36" t="s">
        <v>39</v>
      </c>
      <c r="BH36" t="s">
        <v>9</v>
      </c>
      <c r="BJ36" s="105"/>
      <c r="BK36" s="1" t="s">
        <v>43</v>
      </c>
      <c r="BL36" s="1" t="s">
        <v>43</v>
      </c>
      <c r="BM36" s="1" t="s">
        <v>43</v>
      </c>
      <c r="BN36" s="1" t="s">
        <v>43</v>
      </c>
      <c r="BO36" s="1" t="s">
        <v>43</v>
      </c>
      <c r="BP36" s="28"/>
      <c r="BQ36" t="s">
        <v>37</v>
      </c>
      <c r="BR36" s="17">
        <v>4.3520000000000003E-2</v>
      </c>
      <c r="BS36" t="s">
        <v>10</v>
      </c>
      <c r="BU36" s="104"/>
      <c r="BV36" s="8">
        <f>MAX(BV8,BV12,BV16,BV20,BV24,BV28)</f>
        <v>279779503.76960003</v>
      </c>
      <c r="BW36" s="8">
        <f>MAX(BW8,BW12,BW16,BW20,BW24,BW28)</f>
        <v>100238178.01817696</v>
      </c>
      <c r="BX36" s="8">
        <f>MAX(BX8,BX12,BX16,BX20,BX24,BX28)</f>
        <v>3.8001768178777702E-4</v>
      </c>
      <c r="BY36" s="8">
        <f>MAX(BY8,BY12,BY16,BY20,BY24,BY28)</f>
        <v>2.5858392154213871E-4</v>
      </c>
      <c r="BZ36" s="8">
        <f>MAX(BZ8,BZ12,BZ16,BZ20,BZ24,BZ28)</f>
        <v>-7.7534897754180058E-5</v>
      </c>
      <c r="CA36" s="8"/>
      <c r="CC36" t="s">
        <v>16</v>
      </c>
      <c r="CD36">
        <v>22860.73</v>
      </c>
      <c r="CE36" s="8">
        <v>652254000</v>
      </c>
      <c r="CF36">
        <v>4900.57</v>
      </c>
      <c r="CG36" s="8">
        <f t="shared" si="209"/>
        <v>28386094.080000002</v>
      </c>
      <c r="CH36" s="8">
        <f t="shared" si="210"/>
        <v>32724935.593335304</v>
      </c>
      <c r="CI36" s="8">
        <f t="shared" si="211"/>
        <v>6.11110296733353E-5</v>
      </c>
      <c r="CJ36" s="8">
        <f t="shared" si="212"/>
        <v>6.338053547663331E-5</v>
      </c>
      <c r="CN36" t="s">
        <v>36</v>
      </c>
      <c r="CO36" t="s">
        <v>39</v>
      </c>
      <c r="CP36" t="s">
        <v>9</v>
      </c>
      <c r="CR36" s="105"/>
      <c r="CS36" s="1" t="s">
        <v>43</v>
      </c>
      <c r="CT36" s="1" t="s">
        <v>43</v>
      </c>
      <c r="CU36" s="1" t="s">
        <v>43</v>
      </c>
      <c r="CV36" s="1" t="s">
        <v>43</v>
      </c>
      <c r="CW36" s="1" t="s">
        <v>43</v>
      </c>
    </row>
    <row r="37" spans="1:101" x14ac:dyDescent="0.35">
      <c r="A37" t="s">
        <v>38</v>
      </c>
      <c r="B37" s="23">
        <v>3.1143583597849585E-2</v>
      </c>
      <c r="C37" t="s">
        <v>10</v>
      </c>
      <c r="M37" s="1" t="s">
        <v>27</v>
      </c>
      <c r="Q37" s="8">
        <f>SUM(Q34:Q36)</f>
        <v>146016737.28000003</v>
      </c>
      <c r="R37" s="8">
        <f t="shared" ref="R37:T37" si="214">SUM(R34:R36)</f>
        <v>228734320.07138476</v>
      </c>
      <c r="S37" s="8">
        <f t="shared" si="214"/>
        <v>3.747510573513847E-4</v>
      </c>
      <c r="T37" s="8">
        <f t="shared" si="214"/>
        <v>3.2602650337433417E-4</v>
      </c>
      <c r="U37" s="8">
        <f>T37-S37</f>
        <v>-4.8724553977050528E-5</v>
      </c>
      <c r="V37" s="8"/>
      <c r="X37" t="s">
        <v>30</v>
      </c>
      <c r="Y37" s="8">
        <v>1.02380077104966E-5</v>
      </c>
      <c r="Z37" t="s">
        <v>10</v>
      </c>
      <c r="AB37" s="105"/>
      <c r="AC37" s="8">
        <f>MAX(AC6:AC7,AC10:AC11,AC14:AC15,AC18:AC19,AC23:AC24,AC27:AC28)</f>
        <v>1206374129.9096575</v>
      </c>
      <c r="AD37" s="8">
        <f t="shared" ref="AD37:AG37" si="215">MAX(AD6:AD7,AD10:AD11,AD14:AD15,AD18:AD19,AD23:AD24,AD27:AD28)</f>
        <v>919503933.03718257</v>
      </c>
      <c r="AE37" s="8">
        <f t="shared" si="215"/>
        <v>2.1258780629468399E-3</v>
      </c>
      <c r="AF37" s="8">
        <f t="shared" si="215"/>
        <v>2.2311584748538984E-3</v>
      </c>
      <c r="AG37" s="8">
        <f t="shared" si="215"/>
        <v>1.0139000009344236E-3</v>
      </c>
      <c r="AI37" t="s">
        <v>38</v>
      </c>
      <c r="AJ37" s="36">
        <v>2.8191167288899456E-2</v>
      </c>
      <c r="AK37" t="s">
        <v>10</v>
      </c>
      <c r="AU37" s="1" t="s">
        <v>27</v>
      </c>
      <c r="AY37" s="8">
        <f>SUM(AY34:AY36)</f>
        <v>146016737.28000003</v>
      </c>
      <c r="AZ37" s="8">
        <f t="shared" ref="AZ37" si="216">SUM(AZ34:AZ36)</f>
        <v>228734320.07138476</v>
      </c>
      <c r="BA37" s="8">
        <f t="shared" ref="BA37" si="217">SUM(BA34:BA36)</f>
        <v>3.747510573513847E-4</v>
      </c>
      <c r="BB37" s="8">
        <f t="shared" ref="BB37" si="218">SUM(BB34:BB36)</f>
        <v>3.178161180333877E-4</v>
      </c>
      <c r="BC37" s="8">
        <f>BB37-BA37</f>
        <v>-5.6934939317996995E-5</v>
      </c>
      <c r="BD37" s="8"/>
      <c r="BF37" t="s">
        <v>30</v>
      </c>
      <c r="BG37" s="8">
        <v>1.02380077104966E-5</v>
      </c>
      <c r="BH37" t="s">
        <v>10</v>
      </c>
      <c r="BJ37" s="105"/>
      <c r="BK37" s="8">
        <f>MAX(BK6,BK10,BK14,BK18,BK23,BK27)</f>
        <v>1206374129.9096575</v>
      </c>
      <c r="BL37" s="91">
        <f t="shared" ref="BL37:BO37" si="219">MAX(BL6,BL10,BL14,BL18,BL23,BL27)</f>
        <v>10884344.009817453</v>
      </c>
      <c r="BM37" s="91">
        <f t="shared" si="219"/>
        <v>1.2172584739194748E-3</v>
      </c>
      <c r="BN37" s="91">
        <f t="shared" si="219"/>
        <v>1.9237179658869036E-3</v>
      </c>
      <c r="BO37" s="91">
        <f t="shared" si="219"/>
        <v>7.0645949196742881E-4</v>
      </c>
      <c r="BQ37" t="s">
        <v>38</v>
      </c>
      <c r="BR37" s="37">
        <v>4.0223004594293864E-2</v>
      </c>
      <c r="BS37" t="s">
        <v>10</v>
      </c>
      <c r="CC37" s="1" t="s">
        <v>27</v>
      </c>
      <c r="CG37" s="8">
        <f>SUM(CG34:CG36)</f>
        <v>146016737.28000003</v>
      </c>
      <c r="CH37" s="8">
        <f t="shared" ref="CH37" si="220">SUM(CH34:CH36)</f>
        <v>228734320.07138476</v>
      </c>
      <c r="CI37" s="8">
        <f t="shared" ref="CI37" si="221">SUM(CI34:CI36)</f>
        <v>3.747510573513847E-4</v>
      </c>
      <c r="CJ37" s="8">
        <f t="shared" ref="CJ37" si="222">SUM(CJ34:CJ36)</f>
        <v>3.2602650337433417E-4</v>
      </c>
      <c r="CK37" s="8">
        <f>CJ37-CI37</f>
        <v>-4.8724553977050528E-5</v>
      </c>
      <c r="CL37" s="8"/>
      <c r="CN37" t="s">
        <v>30</v>
      </c>
      <c r="CO37" s="8">
        <v>1.02380077104966E-5</v>
      </c>
      <c r="CP37" t="s">
        <v>10</v>
      </c>
      <c r="CR37" s="105"/>
      <c r="CS37" s="8">
        <f>MAX(CS6:CS7,CS10:CS11,CS14:CS15,CS18:CS19,CS23:CS24,CS27:CS28)</f>
        <v>1206374129.9096575</v>
      </c>
      <c r="CT37" s="8">
        <f t="shared" ref="CT37:CW37" si="223">MAX(CT6:CT7,CT10:CT11,CT14:CT15,CT18:CT19,CT23:CT24,CT27:CT28)</f>
        <v>919503933.03718257</v>
      </c>
      <c r="CU37" s="8">
        <f t="shared" si="223"/>
        <v>2.1258780629468399E-3</v>
      </c>
      <c r="CV37" s="8">
        <f t="shared" si="223"/>
        <v>2.641086328522611E-3</v>
      </c>
      <c r="CW37" s="8">
        <f t="shared" si="223"/>
        <v>1.4238278546031362E-3</v>
      </c>
    </row>
    <row r="38" spans="1:101" ht="16" x14ac:dyDescent="0.4">
      <c r="L38">
        <v>2019</v>
      </c>
      <c r="M38" t="s">
        <v>22</v>
      </c>
      <c r="N38">
        <v>100720.79</v>
      </c>
      <c r="O38" s="8">
        <v>2157170000</v>
      </c>
      <c r="X38" t="s">
        <v>37</v>
      </c>
      <c r="Y38" s="17">
        <v>4.3520000000000003E-2</v>
      </c>
      <c r="Z38" t="s">
        <v>10</v>
      </c>
      <c r="AB38" s="29"/>
      <c r="AT38">
        <v>2019</v>
      </c>
      <c r="AU38" t="s">
        <v>22</v>
      </c>
      <c r="AV38">
        <v>100720.79</v>
      </c>
      <c r="AW38" s="8">
        <v>2157170000</v>
      </c>
      <c r="BF38" t="s">
        <v>37</v>
      </c>
      <c r="BG38" s="17">
        <v>4.3520000000000003E-2</v>
      </c>
      <c r="BH38" t="s">
        <v>10</v>
      </c>
      <c r="BJ38" s="29"/>
      <c r="CB38">
        <v>2019</v>
      </c>
      <c r="CC38" t="s">
        <v>22</v>
      </c>
      <c r="CD38">
        <v>100720.79</v>
      </c>
      <c r="CE38" s="8">
        <v>2157170000</v>
      </c>
      <c r="CN38" t="s">
        <v>37</v>
      </c>
      <c r="CO38" s="17">
        <v>4.3520000000000003E-2</v>
      </c>
      <c r="CP38" t="s">
        <v>10</v>
      </c>
      <c r="CR38" s="29"/>
    </row>
    <row r="39" spans="1:101" x14ac:dyDescent="0.35">
      <c r="M39" t="s">
        <v>17</v>
      </c>
      <c r="N39">
        <v>50042.92</v>
      </c>
      <c r="O39" s="8">
        <v>1036790000</v>
      </c>
      <c r="P39">
        <v>10024.9</v>
      </c>
      <c r="Q39" s="8">
        <f>O39*$M$49</f>
        <v>45121100.800000004</v>
      </c>
      <c r="R39" s="8">
        <f>O39*P39*$M$48</f>
        <v>106410945.27561042</v>
      </c>
      <c r="S39" s="8">
        <f>SUM(Q39:R39)*0.000000000001</f>
        <v>1.5153204607561043E-4</v>
      </c>
      <c r="T39" s="8">
        <f>O39*$M$50*0.000000000001</f>
        <v>1.0074649657467588E-4</v>
      </c>
      <c r="X39" t="s">
        <v>38</v>
      </c>
      <c r="Y39" s="24">
        <v>8.0489140489868813E-2</v>
      </c>
      <c r="Z39" t="s">
        <v>10</v>
      </c>
      <c r="AU39" t="s">
        <v>17</v>
      </c>
      <c r="AV39">
        <v>50042.92</v>
      </c>
      <c r="AW39" s="8">
        <v>1036790000</v>
      </c>
      <c r="AX39">
        <v>10024.9</v>
      </c>
      <c r="AY39" s="91">
        <f t="shared" ref="AY39:AY42" si="224">AW39*AU$49</f>
        <v>45121100.800000004</v>
      </c>
      <c r="AZ39" s="91">
        <f t="shared" ref="AZ39:AZ42" si="225">AW39*AX39*AU$48</f>
        <v>106410945.27561042</v>
      </c>
      <c r="BA39" s="8">
        <f>SUM(AY39:AZ39)*0.000000000001</f>
        <v>1.5153204607561043E-4</v>
      </c>
      <c r="BB39" s="91">
        <f t="shared" ref="BB39:BB42" si="226">AW39*AU$50*0.000000000001</f>
        <v>9.8209379039545012E-5</v>
      </c>
      <c r="BF39" t="s">
        <v>38</v>
      </c>
      <c r="BG39" s="32">
        <v>6.939821055485304E-2</v>
      </c>
      <c r="BH39" t="s">
        <v>10</v>
      </c>
      <c r="CC39" t="s">
        <v>17</v>
      </c>
      <c r="CD39">
        <v>50042.92</v>
      </c>
      <c r="CE39" s="8">
        <v>1036790000</v>
      </c>
      <c r="CF39">
        <v>10024.9</v>
      </c>
      <c r="CG39" s="8">
        <f>CE39*$M$49</f>
        <v>45121100.800000004</v>
      </c>
      <c r="CH39" s="8">
        <f>CE39*CF39*$M$48</f>
        <v>106410945.27561042</v>
      </c>
      <c r="CI39" s="8">
        <f>SUM(CG39:CH39)*0.000000000001</f>
        <v>1.5153204607561043E-4</v>
      </c>
      <c r="CJ39" s="8">
        <f>CE39*$M$50*0.000000000001</f>
        <v>1.0074649657467588E-4</v>
      </c>
      <c r="CN39" t="s">
        <v>38</v>
      </c>
      <c r="CO39" s="33">
        <v>9.5277305909992976E-2</v>
      </c>
      <c r="CP39" t="s">
        <v>10</v>
      </c>
    </row>
    <row r="40" spans="1:101" ht="16.5" x14ac:dyDescent="0.45">
      <c r="M40" t="s">
        <v>18</v>
      </c>
      <c r="N40">
        <v>21347.59</v>
      </c>
      <c r="O40" s="8">
        <v>616643000</v>
      </c>
      <c r="P40">
        <v>4511.93</v>
      </c>
      <c r="Q40" s="8">
        <f t="shared" ref="Q40:Q42" si="227">O40*$M$49</f>
        <v>26836303.360000003</v>
      </c>
      <c r="R40" s="8">
        <f t="shared" ref="R40:R42" si="228">O40*P40*$M$48</f>
        <v>28484697.474565178</v>
      </c>
      <c r="S40" s="8">
        <f t="shared" ref="S40:S42" si="229">SUM(Q40:R40)*0.000000000001</f>
        <v>5.5321000834565179E-5</v>
      </c>
      <c r="T40" s="8">
        <f t="shared" ref="T40:T42" si="230">O40*$M$50*0.000000000001</f>
        <v>5.9920159229253625E-5</v>
      </c>
      <c r="AB40" s="104" t="s">
        <v>49</v>
      </c>
      <c r="AC40" s="1" t="s">
        <v>26</v>
      </c>
      <c r="AD40" s="1" t="s">
        <v>25</v>
      </c>
      <c r="AE40" s="1" t="s">
        <v>40</v>
      </c>
      <c r="AF40" s="1" t="s">
        <v>40</v>
      </c>
      <c r="AG40" s="19" t="s">
        <v>46</v>
      </c>
      <c r="AU40" t="s">
        <v>18</v>
      </c>
      <c r="AV40">
        <v>21347.59</v>
      </c>
      <c r="AW40" s="8">
        <v>616643000</v>
      </c>
      <c r="AX40">
        <v>4511.93</v>
      </c>
      <c r="AY40" s="91">
        <f t="shared" si="224"/>
        <v>26836303.360000003</v>
      </c>
      <c r="AZ40" s="91">
        <f t="shared" si="225"/>
        <v>28484697.474565178</v>
      </c>
      <c r="BA40" s="8">
        <f t="shared" ref="BA40:BA42" si="231">SUM(AY40:AZ40)*0.000000000001</f>
        <v>5.5321000834565179E-5</v>
      </c>
      <c r="BB40" s="91">
        <f t="shared" si="226"/>
        <v>5.841117884921937E-5</v>
      </c>
      <c r="BJ40" s="104" t="s">
        <v>49</v>
      </c>
      <c r="BK40" s="1" t="s">
        <v>26</v>
      </c>
      <c r="BL40" s="1" t="s">
        <v>25</v>
      </c>
      <c r="BM40" s="1" t="s">
        <v>40</v>
      </c>
      <c r="BN40" s="1" t="s">
        <v>40</v>
      </c>
      <c r="BO40" s="19" t="s">
        <v>46</v>
      </c>
      <c r="CC40" t="s">
        <v>18</v>
      </c>
      <c r="CD40">
        <v>21347.59</v>
      </c>
      <c r="CE40" s="8">
        <v>616643000</v>
      </c>
      <c r="CF40">
        <v>4511.93</v>
      </c>
      <c r="CG40" s="8">
        <f t="shared" ref="CG40:CG42" si="232">CE40*$M$49</f>
        <v>26836303.360000003</v>
      </c>
      <c r="CH40" s="8">
        <f t="shared" ref="CH40:CH42" si="233">CE40*CF40*$M$48</f>
        <v>28484697.474565178</v>
      </c>
      <c r="CI40" s="8">
        <f t="shared" ref="CI40:CI42" si="234">SUM(CG40:CH40)*0.000000000001</f>
        <v>5.5321000834565179E-5</v>
      </c>
      <c r="CJ40" s="8">
        <f t="shared" ref="CJ40:CJ42" si="235">CE40*$M$50*0.000000000001</f>
        <v>5.9920159229253625E-5</v>
      </c>
      <c r="CR40" s="104" t="s">
        <v>49</v>
      </c>
      <c r="CS40" s="1" t="s">
        <v>26</v>
      </c>
      <c r="CT40" s="1" t="s">
        <v>25</v>
      </c>
      <c r="CU40" s="1" t="s">
        <v>40</v>
      </c>
      <c r="CV40" s="1" t="s">
        <v>40</v>
      </c>
      <c r="CW40" s="19" t="s">
        <v>46</v>
      </c>
    </row>
    <row r="41" spans="1:101" x14ac:dyDescent="0.35">
      <c r="M41" t="s">
        <v>23</v>
      </c>
      <c r="N41">
        <v>17963.939999999999</v>
      </c>
      <c r="O41" s="8">
        <v>448077000</v>
      </c>
      <c r="P41">
        <v>3493.52</v>
      </c>
      <c r="Q41" s="8">
        <f t="shared" si="227"/>
        <v>19500311.040000003</v>
      </c>
      <c r="R41" s="8">
        <f t="shared" si="228"/>
        <v>16026228.778876441</v>
      </c>
      <c r="S41" s="8">
        <f t="shared" si="229"/>
        <v>3.5526539818876447E-5</v>
      </c>
      <c r="T41" s="8">
        <f t="shared" si="230"/>
        <v>4.3540338878356325E-5</v>
      </c>
      <c r="AB41" s="104"/>
      <c r="AC41" s="1" t="s">
        <v>42</v>
      </c>
      <c r="AD41" s="1" t="s">
        <v>42</v>
      </c>
      <c r="AE41" s="1" t="s">
        <v>42</v>
      </c>
      <c r="AF41" s="1" t="s">
        <v>42</v>
      </c>
      <c r="AG41" s="1" t="s">
        <v>42</v>
      </c>
      <c r="AU41" t="s">
        <v>23</v>
      </c>
      <c r="AV41">
        <v>17963.939999999999</v>
      </c>
      <c r="AW41" s="8">
        <v>448077000</v>
      </c>
      <c r="AX41">
        <v>3493.52</v>
      </c>
      <c r="AY41" s="91">
        <f t="shared" si="224"/>
        <v>19500311.040000003</v>
      </c>
      <c r="AZ41" s="91">
        <f t="shared" si="225"/>
        <v>16026228.778876441</v>
      </c>
      <c r="BA41" s="8">
        <f t="shared" si="231"/>
        <v>3.5526539818876447E-5</v>
      </c>
      <c r="BB41" s="91">
        <f t="shared" si="226"/>
        <v>4.2443854523965524E-5</v>
      </c>
      <c r="BJ41" s="104"/>
      <c r="BK41" s="1" t="s">
        <v>42</v>
      </c>
      <c r="BL41" s="1" t="s">
        <v>42</v>
      </c>
      <c r="BM41" s="1" t="s">
        <v>42</v>
      </c>
      <c r="BN41" s="1" t="s">
        <v>42</v>
      </c>
      <c r="BO41" s="1" t="s">
        <v>42</v>
      </c>
      <c r="CC41" t="s">
        <v>23</v>
      </c>
      <c r="CD41">
        <v>17963.939999999999</v>
      </c>
      <c r="CE41" s="8">
        <v>448077000</v>
      </c>
      <c r="CF41">
        <v>3493.52</v>
      </c>
      <c r="CG41" s="8">
        <f t="shared" si="232"/>
        <v>19500311.040000003</v>
      </c>
      <c r="CH41" s="8">
        <f t="shared" si="233"/>
        <v>16026228.778876441</v>
      </c>
      <c r="CI41" s="8">
        <f t="shared" si="234"/>
        <v>3.5526539818876447E-5</v>
      </c>
      <c r="CJ41" s="8">
        <f t="shared" si="235"/>
        <v>4.3540338878356325E-5</v>
      </c>
      <c r="CR41" s="104"/>
      <c r="CS41" s="1" t="s">
        <v>42</v>
      </c>
      <c r="CT41" s="1" t="s">
        <v>42</v>
      </c>
      <c r="CU41" s="1" t="s">
        <v>42</v>
      </c>
      <c r="CV41" s="1" t="s">
        <v>42</v>
      </c>
      <c r="CW41" s="1" t="s">
        <v>42</v>
      </c>
    </row>
    <row r="42" spans="1:101" x14ac:dyDescent="0.35">
      <c r="M42" t="s">
        <v>21</v>
      </c>
      <c r="N42">
        <v>1846.82</v>
      </c>
      <c r="O42" s="8">
        <v>26129000</v>
      </c>
      <c r="P42">
        <v>2839.27</v>
      </c>
      <c r="Q42" s="8">
        <f t="shared" si="227"/>
        <v>1137134.0800000001</v>
      </c>
      <c r="R42" s="8">
        <f t="shared" si="228"/>
        <v>759530.00434835511</v>
      </c>
      <c r="S42" s="8">
        <f t="shared" si="229"/>
        <v>1.8966640843483551E-6</v>
      </c>
      <c r="T42" s="8">
        <f t="shared" si="230"/>
        <v>2.5389955622640129E-6</v>
      </c>
      <c r="AB42" s="104"/>
      <c r="AC42" s="8">
        <f>MIN(AC8,AC12,AC16,AC20,AC25,AC29)</f>
        <v>677439352.00512016</v>
      </c>
      <c r="AD42" s="8">
        <f t="shared" ref="AD42:AG42" si="236">MIN(AD8,AD12,AD16,AD20,AD25,AD29)</f>
        <v>3043150789.2553182</v>
      </c>
      <c r="AE42" s="8">
        <f t="shared" si="236"/>
        <v>3.7205901412604384E-3</v>
      </c>
      <c r="AF42" s="8">
        <f t="shared" si="236"/>
        <v>1.2529069663811078E-3</v>
      </c>
      <c r="AG42" s="8">
        <f t="shared" si="236"/>
        <v>-4.3944142515140658E-3</v>
      </c>
      <c r="AU42" t="s">
        <v>21</v>
      </c>
      <c r="AV42">
        <v>1846.82</v>
      </c>
      <c r="AW42" s="8">
        <v>26129000</v>
      </c>
      <c r="AX42">
        <v>2839.27</v>
      </c>
      <c r="AY42" s="91">
        <f t="shared" si="224"/>
        <v>1137134.0800000001</v>
      </c>
      <c r="AZ42" s="91">
        <f t="shared" si="225"/>
        <v>759530.00434835511</v>
      </c>
      <c r="BA42" s="8">
        <f t="shared" si="231"/>
        <v>1.8966640843483551E-6</v>
      </c>
      <c r="BB42" s="91">
        <f t="shared" si="226"/>
        <v>2.4750555704860883E-6</v>
      </c>
      <c r="BJ42" s="104"/>
      <c r="BK42" s="8">
        <f>MIN(BK7:BK8,BK11:BK12,BK15:BK16,BK19:BK20,BK24:BK25,BK28:BK29)</f>
        <v>677439352.00512016</v>
      </c>
      <c r="BL42" s="91">
        <f t="shared" ref="BL42:BO42" si="237">MIN(BL7:BL8,BL11:BL12,BL15:BL16,BL19:BL20,BL24:BL25,BL28:BL29)</f>
        <v>516347402.61672932</v>
      </c>
      <c r="BM42" s="91">
        <f t="shared" si="237"/>
        <v>1.1937867546218494E-3</v>
      </c>
      <c r="BN42" s="91">
        <f t="shared" si="237"/>
        <v>1.0802637589291024E-3</v>
      </c>
      <c r="BO42" s="91">
        <f t="shared" si="237"/>
        <v>-4.7018547604810602E-3</v>
      </c>
      <c r="CC42" t="s">
        <v>21</v>
      </c>
      <c r="CD42">
        <v>1846.82</v>
      </c>
      <c r="CE42" s="8">
        <v>26129000</v>
      </c>
      <c r="CF42">
        <v>2839.27</v>
      </c>
      <c r="CG42" s="8">
        <f t="shared" si="232"/>
        <v>1137134.0800000001</v>
      </c>
      <c r="CH42" s="8">
        <f t="shared" si="233"/>
        <v>759530.00434835511</v>
      </c>
      <c r="CI42" s="8">
        <f t="shared" si="234"/>
        <v>1.8966640843483551E-6</v>
      </c>
      <c r="CJ42" s="8">
        <f t="shared" si="235"/>
        <v>2.5389955622640129E-6</v>
      </c>
      <c r="CR42" s="104"/>
      <c r="CS42" s="8">
        <f>MIN(CS8,CS12,CS16,CS20,CS25,CS29)</f>
        <v>677439352.00512016</v>
      </c>
      <c r="CT42" s="8">
        <f t="shared" ref="CT42:CW42" si="238">MIN(CT8,CT12,CT16,CT20,CT25,CT29)</f>
        <v>3043150789.2553182</v>
      </c>
      <c r="CU42" s="8">
        <f t="shared" si="238"/>
        <v>3.7205901412604384E-3</v>
      </c>
      <c r="CV42" s="8">
        <f t="shared" si="238"/>
        <v>1.4831019387973171E-3</v>
      </c>
      <c r="CW42" s="8">
        <f t="shared" si="238"/>
        <v>-3.9844863978453528E-3</v>
      </c>
    </row>
    <row r="43" spans="1:101" x14ac:dyDescent="0.35">
      <c r="M43" s="1" t="s">
        <v>27</v>
      </c>
      <c r="Q43" s="8">
        <f>SUM(Q39:Q42)</f>
        <v>92594849.280000016</v>
      </c>
      <c r="R43" s="8">
        <f t="shared" ref="R43:T43" si="239">SUM(R39:R42)</f>
        <v>151681401.53340042</v>
      </c>
      <c r="S43" s="8">
        <f t="shared" si="239"/>
        <v>2.4427625081340041E-4</v>
      </c>
      <c r="T43" s="8">
        <f t="shared" si="239"/>
        <v>2.0674599024454984E-4</v>
      </c>
      <c r="U43" s="8">
        <f>T43-S43</f>
        <v>-3.7530260568850569E-5</v>
      </c>
      <c r="V43" s="8"/>
      <c r="AB43" s="104"/>
      <c r="AC43" s="1" t="s">
        <v>41</v>
      </c>
      <c r="AD43" s="1" t="s">
        <v>41</v>
      </c>
      <c r="AE43" s="1" t="s">
        <v>41</v>
      </c>
      <c r="AF43" s="1" t="s">
        <v>41</v>
      </c>
      <c r="AG43" s="1" t="s">
        <v>41</v>
      </c>
      <c r="AU43" s="1" t="s">
        <v>27</v>
      </c>
      <c r="AY43" s="8">
        <f>SUM(AY39:AY42)</f>
        <v>92594849.280000016</v>
      </c>
      <c r="AZ43" s="8">
        <f t="shared" ref="AZ43" si="240">SUM(AZ39:AZ42)</f>
        <v>151681401.53340042</v>
      </c>
      <c r="BA43" s="8">
        <f t="shared" ref="BA43" si="241">SUM(BA39:BA42)</f>
        <v>2.4427625081340041E-4</v>
      </c>
      <c r="BB43" s="8">
        <f t="shared" ref="BB43" si="242">SUM(BB39:BB42)</f>
        <v>2.0153946798321599E-4</v>
      </c>
      <c r="BC43" s="8">
        <f>BB43-BA43</f>
        <v>-4.2736782830184416E-5</v>
      </c>
      <c r="BD43" s="8"/>
      <c r="BJ43" s="104"/>
      <c r="BK43" s="1" t="s">
        <v>41</v>
      </c>
      <c r="BL43" s="1" t="s">
        <v>41</v>
      </c>
      <c r="BM43" s="1" t="s">
        <v>41</v>
      </c>
      <c r="BN43" s="1" t="s">
        <v>41</v>
      </c>
      <c r="BO43" s="1" t="s">
        <v>41</v>
      </c>
      <c r="CC43" s="1" t="s">
        <v>27</v>
      </c>
      <c r="CG43" s="8">
        <f>SUM(CG39:CG42)</f>
        <v>92594849.280000016</v>
      </c>
      <c r="CH43" s="8">
        <f t="shared" ref="CH43" si="243">SUM(CH39:CH42)</f>
        <v>151681401.53340042</v>
      </c>
      <c r="CI43" s="8">
        <f t="shared" ref="CI43" si="244">SUM(CI39:CI42)</f>
        <v>2.4427625081340041E-4</v>
      </c>
      <c r="CJ43" s="8">
        <f t="shared" ref="CJ43" si="245">SUM(CJ39:CJ42)</f>
        <v>2.0674599024454984E-4</v>
      </c>
      <c r="CK43" s="8">
        <f>CJ43-CI43</f>
        <v>-3.7530260568850569E-5</v>
      </c>
      <c r="CL43" s="8"/>
      <c r="CR43" s="104"/>
      <c r="CS43" s="1" t="s">
        <v>41</v>
      </c>
      <c r="CT43" s="1" t="s">
        <v>41</v>
      </c>
      <c r="CU43" s="1" t="s">
        <v>41</v>
      </c>
      <c r="CV43" s="1" t="s">
        <v>41</v>
      </c>
      <c r="CW43" s="1" t="s">
        <v>41</v>
      </c>
    </row>
    <row r="44" spans="1:101" x14ac:dyDescent="0.35">
      <c r="AB44" s="104"/>
      <c r="AC44" s="8">
        <f>MEDIAN(AC8,AC12,AC16,AC20,AC25,AC29)</f>
        <v>1047206670.7603965</v>
      </c>
      <c r="AD44" s="8">
        <f t="shared" ref="AD44:AG44" si="246">MEDIAN(AD8,AD12,AD16,AD20,AD25,AD29)</f>
        <v>4704196467.485178</v>
      </c>
      <c r="AE44" s="8">
        <f t="shared" si="246"/>
        <v>5.7514031382455734E-3</v>
      </c>
      <c r="AF44" s="8">
        <f t="shared" si="246"/>
        <v>1.9367822804402879E-3</v>
      </c>
      <c r="AG44" s="8">
        <f t="shared" si="246"/>
        <v>-3.8146208578052859E-3</v>
      </c>
      <c r="BJ44" s="104"/>
      <c r="BK44" s="8">
        <f>MEDIAN(BK7:BK8,BK11:BK12,BK15:BK16,BK19:BK20,BK24:BK25,BK28:BK29)</f>
        <v>1047206670.7603965</v>
      </c>
      <c r="BL44" s="91">
        <f t="shared" ref="BL44:BO44" si="247">MEDIAN(BL7:BL8,BL11:BL12,BL15:BL16,BL19:BL20,BL24:BL25,BL28:BL29)</f>
        <v>1981327361.1462502</v>
      </c>
      <c r="BM44" s="91">
        <f t="shared" si="247"/>
        <v>2.9232341021036392E-3</v>
      </c>
      <c r="BN44" s="91">
        <f t="shared" si="247"/>
        <v>1.6699050788574598E-3</v>
      </c>
      <c r="BO44" s="91">
        <f t="shared" si="247"/>
        <v>-1.4212432396956362E-3</v>
      </c>
      <c r="CR44" s="104"/>
      <c r="CS44" s="8">
        <f>MEDIAN(CS8,CS12,CS16,CS20,CS25,CS29)</f>
        <v>1047206670.7603965</v>
      </c>
      <c r="CT44" s="8">
        <f t="shared" ref="CT44:CW44" si="248">MEDIAN(CT8,CT12,CT16,CT20,CT25,CT29)</f>
        <v>4704196467.485178</v>
      </c>
      <c r="CU44" s="8">
        <f t="shared" si="248"/>
        <v>5.7514031382455734E-3</v>
      </c>
      <c r="CV44" s="8">
        <f t="shared" si="248"/>
        <v>2.2926247775970493E-3</v>
      </c>
      <c r="CW44" s="8">
        <f t="shared" si="248"/>
        <v>-3.4587783606485245E-3</v>
      </c>
    </row>
    <row r="45" spans="1:101" ht="16.5" x14ac:dyDescent="0.45">
      <c r="C45" s="21"/>
      <c r="Q45" s="1" t="s">
        <v>26</v>
      </c>
      <c r="R45" s="1" t="s">
        <v>25</v>
      </c>
      <c r="S45" s="1" t="s">
        <v>40</v>
      </c>
      <c r="T45" s="1" t="s">
        <v>40</v>
      </c>
      <c r="U45" s="19" t="s">
        <v>46</v>
      </c>
      <c r="V45" s="19"/>
      <c r="AB45" s="104"/>
      <c r="AC45" s="1" t="s">
        <v>43</v>
      </c>
      <c r="AD45" s="1" t="s">
        <v>43</v>
      </c>
      <c r="AE45" s="1" t="s">
        <v>43</v>
      </c>
      <c r="AF45" s="1" t="s">
        <v>43</v>
      </c>
      <c r="AG45" s="1" t="s">
        <v>43</v>
      </c>
      <c r="AK45" s="21"/>
      <c r="AY45" s="1" t="s">
        <v>26</v>
      </c>
      <c r="AZ45" s="1" t="s">
        <v>25</v>
      </c>
      <c r="BA45" s="1" t="s">
        <v>40</v>
      </c>
      <c r="BB45" s="1" t="s">
        <v>40</v>
      </c>
      <c r="BC45" s="19" t="s">
        <v>46</v>
      </c>
      <c r="BD45" s="19"/>
      <c r="BJ45" s="104"/>
      <c r="BK45" s="1" t="s">
        <v>43</v>
      </c>
      <c r="BL45" s="1" t="s">
        <v>43</v>
      </c>
      <c r="BM45" s="1" t="s">
        <v>43</v>
      </c>
      <c r="BN45" s="1" t="s">
        <v>43</v>
      </c>
      <c r="BO45" s="1" t="s">
        <v>43</v>
      </c>
      <c r="BS45" s="21"/>
      <c r="CG45" s="1" t="s">
        <v>26</v>
      </c>
      <c r="CH45" s="1" t="s">
        <v>25</v>
      </c>
      <c r="CI45" s="1" t="s">
        <v>40</v>
      </c>
      <c r="CJ45" s="1" t="s">
        <v>40</v>
      </c>
      <c r="CK45" s="19" t="s">
        <v>46</v>
      </c>
      <c r="CL45" s="19"/>
      <c r="CR45" s="104"/>
      <c r="CS45" s="1" t="s">
        <v>43</v>
      </c>
      <c r="CT45" s="1" t="s">
        <v>43</v>
      </c>
      <c r="CU45" s="1" t="s">
        <v>43</v>
      </c>
      <c r="CV45" s="1" t="s">
        <v>43</v>
      </c>
      <c r="CW45" s="1" t="s">
        <v>43</v>
      </c>
    </row>
    <row r="46" spans="1:101" x14ac:dyDescent="0.35">
      <c r="C46" s="22"/>
      <c r="Q46" s="1" t="s">
        <v>42</v>
      </c>
      <c r="R46" s="1" t="s">
        <v>42</v>
      </c>
      <c r="S46" s="1" t="s">
        <v>42</v>
      </c>
      <c r="T46" s="1" t="s">
        <v>42</v>
      </c>
      <c r="U46" s="1" t="s">
        <v>42</v>
      </c>
      <c r="V46" s="1"/>
      <c r="AB46" s="104"/>
      <c r="AC46" s="8">
        <f>MAX(AC8,AC12,AC16,AC20,AC25,AC29)</f>
        <v>1206374129.9096575</v>
      </c>
      <c r="AD46" s="8">
        <f t="shared" ref="AD46:AG46" si="249">MAX(AD8,AD12,AD16,AD20,AD25,AD29)</f>
        <v>5419198596.4583063</v>
      </c>
      <c r="AE46" s="8">
        <f t="shared" si="249"/>
        <v>6.6255727263679638E-3</v>
      </c>
      <c r="AF46" s="8">
        <f t="shared" si="249"/>
        <v>2.2311584748538984E-3</v>
      </c>
      <c r="AG46" s="8">
        <f t="shared" si="249"/>
        <v>-2.4676831748793307E-3</v>
      </c>
      <c r="AK46" s="22"/>
      <c r="AY46" s="1" t="s">
        <v>42</v>
      </c>
      <c r="AZ46" s="1" t="s">
        <v>42</v>
      </c>
      <c r="BA46" s="1" t="s">
        <v>42</v>
      </c>
      <c r="BB46" s="1" t="s">
        <v>42</v>
      </c>
      <c r="BC46" s="1" t="s">
        <v>42</v>
      </c>
      <c r="BD46" s="1"/>
      <c r="BJ46" s="104"/>
      <c r="BK46" s="8">
        <f>MAX(BK7:BK8,BK11:BK12,BK15:BK16,BK19:BK20,BK24:BK25,BK28:BK29)</f>
        <v>1206374129.9096575</v>
      </c>
      <c r="BL46" s="91">
        <f t="shared" ref="BL46:BO46" si="250">MAX(BL7:BL8,BL11:BL12,BL15:BL16,BL19:BL20,BL24:BL25,BL28:BL29)</f>
        <v>5419198596.4583063</v>
      </c>
      <c r="BM46" s="91">
        <f t="shared" si="250"/>
        <v>6.6255727263679638E-3</v>
      </c>
      <c r="BN46" s="91">
        <f t="shared" si="250"/>
        <v>1.9237179658869036E-3</v>
      </c>
      <c r="BO46" s="91">
        <f t="shared" si="250"/>
        <v>-1.1352299569274702E-4</v>
      </c>
      <c r="BS46" s="22"/>
      <c r="CG46" s="1" t="s">
        <v>42</v>
      </c>
      <c r="CH46" s="1" t="s">
        <v>42</v>
      </c>
      <c r="CI46" s="1" t="s">
        <v>42</v>
      </c>
      <c r="CJ46" s="1" t="s">
        <v>42</v>
      </c>
      <c r="CK46" s="1" t="s">
        <v>42</v>
      </c>
      <c r="CL46" s="1"/>
      <c r="CR46" s="104"/>
      <c r="CS46" s="8">
        <f>MAX(CS8,CS12,CS16,CS20,CS25,CS29)</f>
        <v>1206374129.9096575</v>
      </c>
      <c r="CT46" s="8">
        <f t="shared" ref="CT46:CW46" si="251">MAX(CT8,CT12,CT16,CT20,CT25,CT29)</f>
        <v>5419198596.4583063</v>
      </c>
      <c r="CU46" s="8">
        <f t="shared" si="251"/>
        <v>6.6255727263679638E-3</v>
      </c>
      <c r="CV46" s="8">
        <f t="shared" si="251"/>
        <v>2.641086328522611E-3</v>
      </c>
      <c r="CW46" s="8">
        <f t="shared" si="251"/>
        <v>-2.2374882024631211E-3</v>
      </c>
    </row>
    <row r="47" spans="1:101" x14ac:dyDescent="0.35">
      <c r="B47" s="16"/>
      <c r="C47" s="21"/>
      <c r="L47" t="s">
        <v>36</v>
      </c>
      <c r="M47" t="s">
        <v>39</v>
      </c>
      <c r="N47" t="s">
        <v>9</v>
      </c>
      <c r="Q47" s="8">
        <f>MIN(Q11,Q19,Q26,Q32,Q37,Q43)</f>
        <v>92594849.280000016</v>
      </c>
      <c r="R47" s="8">
        <f t="shared" ref="R47:U47" si="252">MIN(R11,R19,R26,R32,R37,R43)</f>
        <v>151681401.53340042</v>
      </c>
      <c r="S47" s="8">
        <f t="shared" si="252"/>
        <v>2.4427625081340041E-4</v>
      </c>
      <c r="T47" s="8">
        <f t="shared" si="252"/>
        <v>2.0674599024454984E-4</v>
      </c>
      <c r="U47" s="8">
        <f t="shared" si="252"/>
        <v>-1.0665853921142121E-4</v>
      </c>
      <c r="V47" s="8"/>
      <c r="AJ47" s="16"/>
      <c r="AK47" s="21"/>
      <c r="AT47" t="s">
        <v>36</v>
      </c>
      <c r="AU47" t="s">
        <v>39</v>
      </c>
      <c r="AV47" t="s">
        <v>9</v>
      </c>
      <c r="AY47" s="8">
        <f>MIN(AY11,AY19,AY26,AY32,AY37,AY43)</f>
        <v>92594849.280000016</v>
      </c>
      <c r="AZ47" s="8">
        <f t="shared" ref="AZ47:BC47" si="253">MIN(AZ11,AZ19,AZ26,AZ32,AZ37,AZ43)</f>
        <v>151681401.53340042</v>
      </c>
      <c r="BA47" s="8">
        <f t="shared" si="253"/>
        <v>2.4427625081340041E-4</v>
      </c>
      <c r="BB47" s="8">
        <f t="shared" si="253"/>
        <v>2.0153946798321599E-4</v>
      </c>
      <c r="BC47" s="8">
        <f t="shared" si="253"/>
        <v>-1.2244207809650068E-4</v>
      </c>
      <c r="BD47" s="8"/>
      <c r="BR47" s="16"/>
      <c r="BS47" s="21"/>
      <c r="CB47" t="s">
        <v>36</v>
      </c>
      <c r="CC47" t="s">
        <v>39</v>
      </c>
      <c r="CD47" t="s">
        <v>9</v>
      </c>
      <c r="CG47" s="8">
        <f>MIN(CG11,CG19,CG26,CG32,CG37,CG43)</f>
        <v>92594849.280000016</v>
      </c>
      <c r="CH47" s="8">
        <f t="shared" ref="CH47:CK47" si="254">MIN(CH11,CH19,CH26,CH32,CH37,CH43)</f>
        <v>151681401.53340042</v>
      </c>
      <c r="CI47" s="8">
        <f t="shared" si="254"/>
        <v>2.4427625081340041E-4</v>
      </c>
      <c r="CJ47" s="8">
        <f t="shared" si="254"/>
        <v>2.0674599024454984E-4</v>
      </c>
      <c r="CK47" s="8">
        <f t="shared" si="254"/>
        <v>-1.0665853921142121E-4</v>
      </c>
      <c r="CL47" s="8"/>
    </row>
    <row r="48" spans="1:101" x14ac:dyDescent="0.35">
      <c r="C48" s="21"/>
      <c r="L48" t="s">
        <v>30</v>
      </c>
      <c r="M48" s="8">
        <v>1.02380077104966E-5</v>
      </c>
      <c r="N48" t="s">
        <v>10</v>
      </c>
      <c r="Q48" s="1" t="s">
        <v>41</v>
      </c>
      <c r="R48" s="1" t="s">
        <v>41</v>
      </c>
      <c r="S48" s="1" t="s">
        <v>41</v>
      </c>
      <c r="T48" s="1" t="s">
        <v>41</v>
      </c>
      <c r="U48" s="1" t="s">
        <v>41</v>
      </c>
      <c r="V48" s="1"/>
      <c r="AK48" s="21"/>
      <c r="AT48" t="s">
        <v>30</v>
      </c>
      <c r="AU48" s="8">
        <v>1.02380077104966E-5</v>
      </c>
      <c r="AV48" t="s">
        <v>10</v>
      </c>
      <c r="AY48" s="1" t="s">
        <v>41</v>
      </c>
      <c r="AZ48" s="1" t="s">
        <v>41</v>
      </c>
      <c r="BA48" s="1" t="s">
        <v>41</v>
      </c>
      <c r="BB48" s="1" t="s">
        <v>41</v>
      </c>
      <c r="BC48" s="1" t="s">
        <v>41</v>
      </c>
      <c r="BD48" s="1"/>
      <c r="BS48" s="21"/>
      <c r="CB48" t="s">
        <v>30</v>
      </c>
      <c r="CC48" s="8">
        <v>1.02380077104966E-5</v>
      </c>
      <c r="CD48" t="s">
        <v>10</v>
      </c>
      <c r="CG48" s="1" t="s">
        <v>41</v>
      </c>
      <c r="CH48" s="1" t="s">
        <v>41</v>
      </c>
      <c r="CI48" s="1" t="s">
        <v>41</v>
      </c>
      <c r="CJ48" s="1" t="s">
        <v>41</v>
      </c>
      <c r="CK48" s="1" t="s">
        <v>41</v>
      </c>
      <c r="CL48" s="1"/>
    </row>
    <row r="49" spans="3:90" ht="16" x14ac:dyDescent="0.4">
      <c r="C49" s="21"/>
      <c r="L49" t="s">
        <v>37</v>
      </c>
      <c r="M49" s="17">
        <v>4.3520000000000003E-2</v>
      </c>
      <c r="N49" t="s">
        <v>10</v>
      </c>
      <c r="Q49" s="8">
        <f>MEDIAN(Q11,Q19,Q26,Q32,Q37,Q43)</f>
        <v>157098432.89600003</v>
      </c>
      <c r="R49" s="8">
        <f t="shared" ref="R49:U49" si="255">MEDIAN(R11,R19,R26,R32,R37,R43)</f>
        <v>258253453.91159675</v>
      </c>
      <c r="S49" s="8">
        <f t="shared" si="255"/>
        <v>4.1535188680759676E-4</v>
      </c>
      <c r="T49" s="8">
        <f t="shared" si="255"/>
        <v>3.5076973857082431E-4</v>
      </c>
      <c r="U49" s="8">
        <f t="shared" si="255"/>
        <v>-6.1104540516359105E-5</v>
      </c>
      <c r="V49" s="8"/>
      <c r="AK49" s="21"/>
      <c r="AT49" t="s">
        <v>37</v>
      </c>
      <c r="AU49" s="17">
        <v>4.3520000000000003E-2</v>
      </c>
      <c r="AV49" t="s">
        <v>10</v>
      </c>
      <c r="AY49" s="8">
        <f>MEDIAN(AY11,AY19,AY26,AY32,AY37,AY43)</f>
        <v>157098432.89600003</v>
      </c>
      <c r="AZ49" s="8">
        <f t="shared" ref="AZ49:BC49" si="256">MEDIAN(AZ11,AZ19,AZ26,AZ32,AZ37,AZ43)</f>
        <v>258253453.91159675</v>
      </c>
      <c r="BA49" s="8">
        <f t="shared" si="256"/>
        <v>4.1535188680759676E-4</v>
      </c>
      <c r="BB49" s="8">
        <f t="shared" si="256"/>
        <v>3.4193623979142352E-4</v>
      </c>
      <c r="BC49" s="8">
        <f t="shared" si="256"/>
        <v>-7.2152251429954815E-5</v>
      </c>
      <c r="BD49" s="8"/>
      <c r="BS49" s="21"/>
      <c r="CB49" t="s">
        <v>37</v>
      </c>
      <c r="CC49" s="17">
        <v>4.3520000000000003E-2</v>
      </c>
      <c r="CD49" t="s">
        <v>10</v>
      </c>
      <c r="CG49" s="8">
        <f>MEDIAN(CG11,CG19,CG26,CG32,CG37,CG43)</f>
        <v>157098432.89600003</v>
      </c>
      <c r="CH49" s="8">
        <f t="shared" ref="CH49:CK49" si="257">MEDIAN(CH11,CH19,CH26,CH32,CH37,CH43)</f>
        <v>258253453.91159675</v>
      </c>
      <c r="CI49" s="8">
        <f t="shared" si="257"/>
        <v>4.1535188680759676E-4</v>
      </c>
      <c r="CJ49" s="8">
        <f t="shared" si="257"/>
        <v>3.5076973857082431E-4</v>
      </c>
      <c r="CK49" s="8">
        <f t="shared" si="257"/>
        <v>-6.1104540516359105E-5</v>
      </c>
      <c r="CL49" s="8"/>
    </row>
    <row r="50" spans="3:90" x14ac:dyDescent="0.35">
      <c r="C50" s="21"/>
      <c r="L50" t="s">
        <v>38</v>
      </c>
      <c r="M50">
        <v>9.7171555063875897E-2</v>
      </c>
      <c r="N50" t="s">
        <v>10</v>
      </c>
      <c r="Q50" s="1" t="s">
        <v>43</v>
      </c>
      <c r="R50" s="1" t="s">
        <v>43</v>
      </c>
      <c r="S50" s="1" t="s">
        <v>43</v>
      </c>
      <c r="T50" s="1" t="s">
        <v>43</v>
      </c>
      <c r="U50" s="1" t="s">
        <v>43</v>
      </c>
      <c r="V50" s="1"/>
      <c r="AK50" s="21"/>
      <c r="AT50" t="s">
        <v>38</v>
      </c>
      <c r="AU50" s="34">
        <v>9.4724465937697136E-2</v>
      </c>
      <c r="AV50" t="s">
        <v>10</v>
      </c>
      <c r="AY50" s="1" t="s">
        <v>43</v>
      </c>
      <c r="AZ50" s="1" t="s">
        <v>43</v>
      </c>
      <c r="BA50" s="1" t="s">
        <v>43</v>
      </c>
      <c r="BB50" s="1" t="s">
        <v>43</v>
      </c>
      <c r="BC50" s="1" t="s">
        <v>43</v>
      </c>
      <c r="BD50" s="1"/>
      <c r="BS50" s="21"/>
      <c r="CB50" t="s">
        <v>38</v>
      </c>
      <c r="CC50" s="35">
        <v>0.10027871542986774</v>
      </c>
      <c r="CD50" t="s">
        <v>10</v>
      </c>
      <c r="CG50" s="1" t="s">
        <v>43</v>
      </c>
      <c r="CH50" s="1" t="s">
        <v>43</v>
      </c>
      <c r="CI50" s="1" t="s">
        <v>43</v>
      </c>
      <c r="CJ50" s="1" t="s">
        <v>43</v>
      </c>
      <c r="CK50" s="1" t="s">
        <v>43</v>
      </c>
      <c r="CL50" s="1"/>
    </row>
    <row r="51" spans="3:90" x14ac:dyDescent="0.35">
      <c r="C51" s="21"/>
      <c r="Q51" s="8">
        <f>MAX(Q11,Q19,Q26,Q32,Q37,Q43)</f>
        <v>280700692.48000002</v>
      </c>
      <c r="R51" s="8">
        <f t="shared" ref="R51:U51" si="258">MAX(R11,R19,R26,R32,R37,R43)</f>
        <v>452706991.85523587</v>
      </c>
      <c r="S51" s="8">
        <f t="shared" si="258"/>
        <v>7.3340768433523588E-4</v>
      </c>
      <c r="T51" s="8">
        <f t="shared" si="258"/>
        <v>6.2674914512381467E-4</v>
      </c>
      <c r="U51" s="8">
        <f t="shared" si="258"/>
        <v>-3.7530260568850569E-5</v>
      </c>
      <c r="V51" s="8"/>
      <c r="AK51" s="21"/>
      <c r="AY51" s="8">
        <f>MAX(AY11,AY19,AY26,AY32,AY37,AY43)</f>
        <v>280700692.48000002</v>
      </c>
      <c r="AZ51" s="8">
        <f t="shared" ref="AZ51:BC51" si="259">MAX(AZ11,AZ19,AZ26,AZ32,AZ37,AZ43)</f>
        <v>452706991.85523587</v>
      </c>
      <c r="BA51" s="8">
        <f t="shared" si="259"/>
        <v>7.3340768433523588E-4</v>
      </c>
      <c r="BB51" s="8">
        <f t="shared" si="259"/>
        <v>6.109656062387352E-4</v>
      </c>
      <c r="BC51" s="8">
        <f t="shared" si="259"/>
        <v>-4.2736782830184416E-5</v>
      </c>
      <c r="BD51" s="8"/>
      <c r="BS51" s="21"/>
      <c r="CG51" s="8">
        <f>MAX(CG11,CG19,CG26,CG32,CG37,CG43)</f>
        <v>280700692.48000002</v>
      </c>
      <c r="CH51" s="8">
        <f t="shared" ref="CH51:CK51" si="260">MAX(CH11,CH19,CH26,CH32,CH37,CH43)</f>
        <v>452706991.85523587</v>
      </c>
      <c r="CI51" s="8">
        <f t="shared" si="260"/>
        <v>7.3340768433523588E-4</v>
      </c>
      <c r="CJ51" s="8">
        <f t="shared" si="260"/>
        <v>6.2674914512381467E-4</v>
      </c>
      <c r="CK51" s="8">
        <f t="shared" si="260"/>
        <v>-3.7530260568850569E-5</v>
      </c>
      <c r="CL51" s="8"/>
    </row>
    <row r="52" spans="3:90" x14ac:dyDescent="0.35">
      <c r="C52" s="22"/>
      <c r="AK52" s="22"/>
      <c r="BS52" s="22"/>
    </row>
    <row r="53" spans="3:90" x14ac:dyDescent="0.35">
      <c r="C53" s="22"/>
      <c r="AK53" s="22"/>
      <c r="BS53" s="22"/>
    </row>
    <row r="54" spans="3:90" x14ac:dyDescent="0.35">
      <c r="C54" s="22"/>
    </row>
    <row r="55" spans="3:90" x14ac:dyDescent="0.35">
      <c r="C55" s="22"/>
    </row>
    <row r="56" spans="3:90" x14ac:dyDescent="0.35">
      <c r="C56" s="22"/>
    </row>
    <row r="57" spans="3:90" x14ac:dyDescent="0.35">
      <c r="C57" s="21"/>
    </row>
  </sheetData>
  <mergeCells count="20">
    <mergeCell ref="BJ31:BJ37"/>
    <mergeCell ref="BJ40:BJ46"/>
    <mergeCell ref="BQ2:BZ2"/>
    <mergeCell ref="CB2:CK2"/>
    <mergeCell ref="CN2:CW2"/>
    <mergeCell ref="BU30:BU36"/>
    <mergeCell ref="CR31:CR37"/>
    <mergeCell ref="CR40:CR46"/>
    <mergeCell ref="E30:E36"/>
    <mergeCell ref="AB40:AB46"/>
    <mergeCell ref="AB31:AB37"/>
    <mergeCell ref="AI2:AR2"/>
    <mergeCell ref="AM30:AM36"/>
    <mergeCell ref="AI1:BI1"/>
    <mergeCell ref="A2:J2"/>
    <mergeCell ref="L2:U2"/>
    <mergeCell ref="X2:AG2"/>
    <mergeCell ref="A1:AG1"/>
    <mergeCell ref="AT2:BC2"/>
    <mergeCell ref="BF2:BO2"/>
  </mergeCell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WDP change</vt:lpstr>
      <vt:lpstr>kg P change</vt:lpstr>
      <vt:lpstr>kg N change</vt:lpstr>
      <vt:lpstr>GWP 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Wisdom Okoh</dc:creator>
  <cp:lastModifiedBy>Donald Chimobi Nwonu</cp:lastModifiedBy>
  <dcterms:created xsi:type="dcterms:W3CDTF">2026-01-27T19:16:18Z</dcterms:created>
  <dcterms:modified xsi:type="dcterms:W3CDTF">2026-03-13T23:01:12Z</dcterms:modified>
</cp:coreProperties>
</file>