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dcn32_bath_ac_uk/Documents/PDRA/Personal/Papers colab/"/>
    </mc:Choice>
  </mc:AlternateContent>
  <xr:revisionPtr revIDLastSave="388" documentId="8_{D5CD2F0D-DBCE-4C07-8F40-35E8C61D7C48}" xr6:coauthVersionLast="47" xr6:coauthVersionMax="47" xr10:uidLastSave="{F7E3A544-BFEB-4F7E-AA09-C18288BFBEE3}"/>
  <bookViews>
    <workbookView xWindow="-110" yWindow="-110" windowWidth="19420" windowHeight="11500" xr2:uid="{E1B12456-5A3C-4BEB-B446-E82D59301B77}"/>
  </bookViews>
  <sheets>
    <sheet name="Technology shift" sheetId="1" r:id="rId1"/>
    <sheet name="Planetary boundary lim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79" i="2" l="1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K77" i="2"/>
  <c r="G77" i="2"/>
  <c r="F77" i="2"/>
  <c r="N76" i="2"/>
  <c r="K76" i="2"/>
  <c r="G76" i="2"/>
  <c r="E76" i="2"/>
  <c r="D76" i="2"/>
  <c r="C76" i="2"/>
  <c r="BN75" i="2"/>
  <c r="BM75" i="2"/>
  <c r="BF75" i="2"/>
  <c r="BE75" i="2"/>
  <c r="AY75" i="2"/>
  <c r="AX75" i="2"/>
  <c r="AT75" i="2"/>
  <c r="AI75" i="2"/>
  <c r="AB75" i="2"/>
  <c r="P75" i="2"/>
  <c r="O75" i="2"/>
  <c r="N75" i="2"/>
  <c r="M75" i="2"/>
  <c r="L75" i="2"/>
  <c r="K75" i="2"/>
  <c r="J75" i="2"/>
  <c r="I75" i="2"/>
  <c r="H75" i="2"/>
  <c r="G75" i="2"/>
  <c r="BO75" i="2" s="1"/>
  <c r="F75" i="2"/>
  <c r="F76" i="2" s="1"/>
  <c r="E75" i="2"/>
  <c r="D75" i="2"/>
  <c r="C75" i="2"/>
  <c r="B75" i="2"/>
  <c r="AF75" i="2" s="1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3" i="2"/>
  <c r="P72" i="2"/>
  <c r="G72" i="2"/>
  <c r="C72" i="2"/>
  <c r="B72" i="2"/>
  <c r="BL71" i="2"/>
  <c r="BK71" i="2"/>
  <c r="BJ71" i="2"/>
  <c r="AH71" i="2"/>
  <c r="AG71" i="2"/>
  <c r="AF71" i="2"/>
  <c r="R71" i="2"/>
  <c r="Q71" i="2"/>
  <c r="G71" i="2"/>
  <c r="E71" i="2"/>
  <c r="D71" i="2"/>
  <c r="C71" i="2"/>
  <c r="BV70" i="2"/>
  <c r="BS70" i="2"/>
  <c r="BR70" i="2"/>
  <c r="BP70" i="2"/>
  <c r="BL70" i="2"/>
  <c r="BJ70" i="2"/>
  <c r="BB70" i="2"/>
  <c r="AZ70" i="2"/>
  <c r="AU70" i="2"/>
  <c r="AM70" i="2"/>
  <c r="AL70" i="2"/>
  <c r="AK70" i="2"/>
  <c r="AJ70" i="2"/>
  <c r="AE70" i="2"/>
  <c r="T70" i="2"/>
  <c r="S70" i="2"/>
  <c r="P70" i="2"/>
  <c r="P71" i="2" s="1"/>
  <c r="O70" i="2"/>
  <c r="N70" i="2"/>
  <c r="M70" i="2"/>
  <c r="L70" i="2"/>
  <c r="K70" i="2"/>
  <c r="J70" i="2"/>
  <c r="I70" i="2"/>
  <c r="BQ70" i="2" s="1"/>
  <c r="H70" i="2"/>
  <c r="G70" i="2"/>
  <c r="F70" i="2"/>
  <c r="E70" i="2"/>
  <c r="D70" i="2"/>
  <c r="AW70" i="2" s="1"/>
  <c r="C70" i="2"/>
  <c r="AV70" i="2" s="1"/>
  <c r="B70" i="2"/>
  <c r="B71" i="2" s="1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AQ66" i="2"/>
  <c r="AP66" i="2"/>
  <c r="AO66" i="2"/>
  <c r="AA66" i="2"/>
  <c r="O66" i="2"/>
  <c r="N66" i="2"/>
  <c r="M66" i="2"/>
  <c r="L66" i="2"/>
  <c r="K66" i="2"/>
  <c r="K67" i="2" s="1"/>
  <c r="I66" i="2"/>
  <c r="G66" i="2"/>
  <c r="F66" i="2"/>
  <c r="BV65" i="2"/>
  <c r="BU65" i="2"/>
  <c r="BT65" i="2"/>
  <c r="BS65" i="2"/>
  <c r="BO65" i="2"/>
  <c r="BN65" i="2"/>
  <c r="BF65" i="2"/>
  <c r="BE65" i="2"/>
  <c r="AZ65" i="2"/>
  <c r="AX65" i="2"/>
  <c r="AW65" i="2"/>
  <c r="AU65" i="2"/>
  <c r="AT65" i="2"/>
  <c r="AO65" i="2"/>
  <c r="AJ65" i="2"/>
  <c r="AI65" i="2"/>
  <c r="AE65" i="2"/>
  <c r="V65" i="2"/>
  <c r="P65" i="2"/>
  <c r="O65" i="2"/>
  <c r="N65" i="2"/>
  <c r="M65" i="2"/>
  <c r="AB65" i="2" s="1"/>
  <c r="L65" i="2"/>
  <c r="K65" i="2"/>
  <c r="J65" i="2"/>
  <c r="I65" i="2"/>
  <c r="H65" i="2"/>
  <c r="G65" i="2"/>
  <c r="F65" i="2"/>
  <c r="AY65" i="2" s="1"/>
  <c r="E65" i="2"/>
  <c r="D65" i="2"/>
  <c r="C65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I62" i="2"/>
  <c r="E62" i="2"/>
  <c r="BR61" i="2"/>
  <c r="BQ61" i="2"/>
  <c r="BP61" i="2"/>
  <c r="AN61" i="2"/>
  <c r="X61" i="2"/>
  <c r="W61" i="2"/>
  <c r="O61" i="2"/>
  <c r="O62" i="2" s="1"/>
  <c r="O63" i="2" s="1"/>
  <c r="N61" i="2"/>
  <c r="J61" i="2"/>
  <c r="I61" i="2"/>
  <c r="H61" i="2"/>
  <c r="H62" i="2" s="1"/>
  <c r="G61" i="2"/>
  <c r="E61" i="2"/>
  <c r="BU60" i="2"/>
  <c r="BR60" i="2"/>
  <c r="BQ60" i="2"/>
  <c r="BP60" i="2"/>
  <c r="BO60" i="2"/>
  <c r="BL60" i="2"/>
  <c r="BC60" i="2"/>
  <c r="BB60" i="2"/>
  <c r="BA60" i="2"/>
  <c r="AY60" i="2"/>
  <c r="AX60" i="2"/>
  <c r="AR60" i="2"/>
  <c r="AL60" i="2"/>
  <c r="AK60" i="2"/>
  <c r="AB60" i="2"/>
  <c r="AA60" i="2"/>
  <c r="Z60" i="2"/>
  <c r="Y60" i="2"/>
  <c r="P60" i="2"/>
  <c r="BX60" i="2" s="1"/>
  <c r="O60" i="2"/>
  <c r="N60" i="2"/>
  <c r="M60" i="2"/>
  <c r="L60" i="2"/>
  <c r="K60" i="2"/>
  <c r="J60" i="2"/>
  <c r="I60" i="2"/>
  <c r="X60" i="2" s="1"/>
  <c r="H60" i="2"/>
  <c r="G60" i="2"/>
  <c r="F60" i="2"/>
  <c r="E60" i="2"/>
  <c r="D60" i="2"/>
  <c r="C60" i="2"/>
  <c r="Q60" i="2" s="1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N58" i="2"/>
  <c r="I58" i="2"/>
  <c r="N57" i="2"/>
  <c r="AO56" i="2"/>
  <c r="M56" i="2"/>
  <c r="L56" i="2"/>
  <c r="K56" i="2"/>
  <c r="I56" i="2"/>
  <c r="I57" i="2" s="1"/>
  <c r="G56" i="2"/>
  <c r="G57" i="2" s="1"/>
  <c r="E56" i="2"/>
  <c r="C56" i="2"/>
  <c r="BX55" i="2"/>
  <c r="BV55" i="2"/>
  <c r="BT55" i="2"/>
  <c r="BB55" i="2"/>
  <c r="BA55" i="2"/>
  <c r="AQ55" i="2"/>
  <c r="AP55" i="2"/>
  <c r="AN55" i="2"/>
  <c r="AM55" i="2"/>
  <c r="W55" i="2"/>
  <c r="P55" i="2"/>
  <c r="O55" i="2"/>
  <c r="N55" i="2"/>
  <c r="N56" i="2" s="1"/>
  <c r="M55" i="2"/>
  <c r="L55" i="2"/>
  <c r="K55" i="2"/>
  <c r="J55" i="2"/>
  <c r="I55" i="2"/>
  <c r="H55" i="2"/>
  <c r="G55" i="2"/>
  <c r="F55" i="2"/>
  <c r="E55" i="2"/>
  <c r="AI55" i="2" s="1"/>
  <c r="D55" i="2"/>
  <c r="C55" i="2"/>
  <c r="B55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O52" i="2"/>
  <c r="J52" i="2"/>
  <c r="O51" i="2"/>
  <c r="J51" i="2"/>
  <c r="I51" i="2"/>
  <c r="I52" i="2" s="1"/>
  <c r="G51" i="2"/>
  <c r="G52" i="2" s="1"/>
  <c r="E51" i="2"/>
  <c r="C51" i="2"/>
  <c r="B51" i="2"/>
  <c r="BS50" i="2"/>
  <c r="BQ50" i="2"/>
  <c r="BP50" i="2"/>
  <c r="BN50" i="2"/>
  <c r="BA50" i="2"/>
  <c r="AZ50" i="2"/>
  <c r="AY50" i="2"/>
  <c r="AX50" i="2"/>
  <c r="AV50" i="2"/>
  <c r="AT50" i="2"/>
  <c r="AR50" i="2"/>
  <c r="AQ50" i="2"/>
  <c r="AH50" i="2"/>
  <c r="AF50" i="2"/>
  <c r="AE50" i="2"/>
  <c r="AC50" i="2"/>
  <c r="W50" i="2"/>
  <c r="U50" i="2"/>
  <c r="T50" i="2"/>
  <c r="P50" i="2"/>
  <c r="O50" i="2"/>
  <c r="N50" i="2"/>
  <c r="M50" i="2"/>
  <c r="L50" i="2"/>
  <c r="K50" i="2"/>
  <c r="Z50" i="2" s="1"/>
  <c r="J50" i="2"/>
  <c r="Y50" i="2" s="1"/>
  <c r="I50" i="2"/>
  <c r="H50" i="2"/>
  <c r="G50" i="2"/>
  <c r="F50" i="2"/>
  <c r="E50" i="2"/>
  <c r="D50" i="2"/>
  <c r="C50" i="2"/>
  <c r="B50" i="2"/>
  <c r="BJ50" i="2" s="1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B48" i="2"/>
  <c r="H47" i="2"/>
  <c r="C47" i="2"/>
  <c r="P46" i="2"/>
  <c r="H46" i="2"/>
  <c r="G46" i="2"/>
  <c r="C46" i="2"/>
  <c r="B46" i="2"/>
  <c r="B47" i="2" s="1"/>
  <c r="BW45" i="2"/>
  <c r="BV45" i="2"/>
  <c r="BU45" i="2"/>
  <c r="BO45" i="2"/>
  <c r="AZ45" i="2"/>
  <c r="AV45" i="2"/>
  <c r="AL45" i="2"/>
  <c r="AK45" i="2"/>
  <c r="AG45" i="2"/>
  <c r="V45" i="2"/>
  <c r="R45" i="2"/>
  <c r="P45" i="2"/>
  <c r="O45" i="2"/>
  <c r="N45" i="2"/>
  <c r="M45" i="2"/>
  <c r="L45" i="2"/>
  <c r="K45" i="2"/>
  <c r="J45" i="2"/>
  <c r="I45" i="2"/>
  <c r="H45" i="2"/>
  <c r="G45" i="2"/>
  <c r="F45" i="2"/>
  <c r="F46" i="2" s="1"/>
  <c r="E45" i="2"/>
  <c r="E46" i="2" s="1"/>
  <c r="D45" i="2"/>
  <c r="C45" i="2"/>
  <c r="BJ45" i="2" s="1"/>
  <c r="B45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L42" i="2"/>
  <c r="D42" i="2"/>
  <c r="C42" i="2"/>
  <c r="BL41" i="2"/>
  <c r="N41" i="2"/>
  <c r="M41" i="2"/>
  <c r="L41" i="2"/>
  <c r="D41" i="2"/>
  <c r="C41" i="2"/>
  <c r="B41" i="2"/>
  <c r="BX40" i="2"/>
  <c r="BW40" i="2"/>
  <c r="BV40" i="2"/>
  <c r="BO40" i="2"/>
  <c r="BM40" i="2"/>
  <c r="AZ40" i="2"/>
  <c r="AX40" i="2"/>
  <c r="AW40" i="2"/>
  <c r="AV40" i="2"/>
  <c r="AU40" i="2"/>
  <c r="AT40" i="2"/>
  <c r="AK40" i="2"/>
  <c r="AI40" i="2"/>
  <c r="AD40" i="2"/>
  <c r="AA40" i="2"/>
  <c r="V40" i="2"/>
  <c r="P40" i="2"/>
  <c r="O40" i="2"/>
  <c r="N40" i="2"/>
  <c r="M40" i="2"/>
  <c r="L40" i="2"/>
  <c r="K40" i="2"/>
  <c r="J40" i="2"/>
  <c r="I40" i="2"/>
  <c r="H40" i="2"/>
  <c r="G40" i="2"/>
  <c r="G41" i="2" s="1"/>
  <c r="G42" i="2" s="1"/>
  <c r="F40" i="2"/>
  <c r="E40" i="2"/>
  <c r="T40" i="2" s="1"/>
  <c r="D40" i="2"/>
  <c r="C40" i="2"/>
  <c r="B40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H38" i="2"/>
  <c r="AU37" i="2"/>
  <c r="H37" i="2"/>
  <c r="D37" i="2"/>
  <c r="C37" i="2"/>
  <c r="B37" i="2"/>
  <c r="BC36" i="2"/>
  <c r="BB36" i="2"/>
  <c r="AN36" i="2"/>
  <c r="AM36" i="2"/>
  <c r="AL36" i="2"/>
  <c r="S36" i="2"/>
  <c r="R36" i="2"/>
  <c r="P36" i="2"/>
  <c r="L36" i="2"/>
  <c r="J36" i="2"/>
  <c r="I36" i="2"/>
  <c r="H36" i="2"/>
  <c r="B36" i="2"/>
  <c r="BX35" i="2"/>
  <c r="BM35" i="2"/>
  <c r="BK35" i="2"/>
  <c r="BJ35" i="2"/>
  <c r="BA35" i="2"/>
  <c r="AW35" i="2"/>
  <c r="AV35" i="2"/>
  <c r="AU35" i="2"/>
  <c r="AT35" i="2"/>
  <c r="AN35" i="2"/>
  <c r="AH35" i="2"/>
  <c r="AG35" i="2"/>
  <c r="AF35" i="2"/>
  <c r="AE35" i="2"/>
  <c r="AA35" i="2"/>
  <c r="W35" i="2"/>
  <c r="S35" i="2"/>
  <c r="P35" i="2"/>
  <c r="BI35" i="2" s="1"/>
  <c r="O35" i="2"/>
  <c r="O36" i="2" s="1"/>
  <c r="N35" i="2"/>
  <c r="N36" i="2" s="1"/>
  <c r="M35" i="2"/>
  <c r="M36" i="2" s="1"/>
  <c r="L35" i="2"/>
  <c r="K35" i="2"/>
  <c r="K36" i="2" s="1"/>
  <c r="J35" i="2"/>
  <c r="I35" i="2"/>
  <c r="H35" i="2"/>
  <c r="G35" i="2"/>
  <c r="F35" i="2"/>
  <c r="E35" i="2"/>
  <c r="D35" i="2"/>
  <c r="D36" i="2" s="1"/>
  <c r="C35" i="2"/>
  <c r="C36" i="2" s="1"/>
  <c r="AV36" i="2" s="1"/>
  <c r="B35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N32" i="2"/>
  <c r="N33" i="2" s="1"/>
  <c r="I32" i="2"/>
  <c r="P31" i="2"/>
  <c r="N31" i="2"/>
  <c r="J31" i="2"/>
  <c r="I31" i="2"/>
  <c r="H31" i="2"/>
  <c r="D31" i="2"/>
  <c r="D32" i="2" s="1"/>
  <c r="BX30" i="2"/>
  <c r="BT30" i="2"/>
  <c r="BS30" i="2"/>
  <c r="BR30" i="2"/>
  <c r="BM30" i="2"/>
  <c r="BI30" i="2"/>
  <c r="BB30" i="2"/>
  <c r="BA30" i="2"/>
  <c r="AY30" i="2"/>
  <c r="AS30" i="2"/>
  <c r="AO30" i="2"/>
  <c r="AN30" i="2"/>
  <c r="AD30" i="2"/>
  <c r="AB30" i="2"/>
  <c r="AA30" i="2"/>
  <c r="Z30" i="2"/>
  <c r="Y30" i="2"/>
  <c r="W30" i="2"/>
  <c r="V30" i="2"/>
  <c r="U30" i="2"/>
  <c r="P30" i="2"/>
  <c r="O30" i="2"/>
  <c r="N30" i="2"/>
  <c r="M30" i="2"/>
  <c r="L30" i="2"/>
  <c r="K30" i="2"/>
  <c r="J30" i="2"/>
  <c r="BC30" i="2" s="1"/>
  <c r="I30" i="2"/>
  <c r="H30" i="2"/>
  <c r="G30" i="2"/>
  <c r="F30" i="2"/>
  <c r="E30" i="2"/>
  <c r="D30" i="2"/>
  <c r="C30" i="2"/>
  <c r="B30" i="2"/>
  <c r="AF30" i="2" s="1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N27" i="2"/>
  <c r="BW26" i="2"/>
  <c r="BV26" i="2"/>
  <c r="AR26" i="2"/>
  <c r="P26" i="2"/>
  <c r="O26" i="2"/>
  <c r="N26" i="2"/>
  <c r="M26" i="2"/>
  <c r="L26" i="2"/>
  <c r="J26" i="2"/>
  <c r="H26" i="2"/>
  <c r="D26" i="2"/>
  <c r="BX25" i="2"/>
  <c r="BV25" i="2"/>
  <c r="BI25" i="2"/>
  <c r="BH25" i="2"/>
  <c r="BG25" i="2"/>
  <c r="AT25" i="2"/>
  <c r="AS25" i="2"/>
  <c r="AR25" i="2"/>
  <c r="AM25" i="2"/>
  <c r="AH25" i="2"/>
  <c r="AE25" i="2"/>
  <c r="AD25" i="2"/>
  <c r="AC25" i="2"/>
  <c r="P25" i="2"/>
  <c r="O25" i="2"/>
  <c r="BW25" i="2" s="1"/>
  <c r="N25" i="2"/>
  <c r="M25" i="2"/>
  <c r="L25" i="2"/>
  <c r="K25" i="2"/>
  <c r="J25" i="2"/>
  <c r="I25" i="2"/>
  <c r="H25" i="2"/>
  <c r="G25" i="2"/>
  <c r="G26" i="2" s="1"/>
  <c r="F25" i="2"/>
  <c r="F26" i="2" s="1"/>
  <c r="E25" i="2"/>
  <c r="D25" i="2"/>
  <c r="C25" i="2"/>
  <c r="B25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J22" i="2"/>
  <c r="H22" i="2"/>
  <c r="BR21" i="2"/>
  <c r="BC21" i="2"/>
  <c r="BB21" i="2"/>
  <c r="BA21" i="2"/>
  <c r="AT21" i="2"/>
  <c r="AN21" i="2"/>
  <c r="AM21" i="2"/>
  <c r="AL21" i="2"/>
  <c r="Y21" i="2"/>
  <c r="X21" i="2"/>
  <c r="P21" i="2"/>
  <c r="O21" i="2"/>
  <c r="N21" i="2"/>
  <c r="L21" i="2"/>
  <c r="K21" i="2"/>
  <c r="J21" i="2"/>
  <c r="I21" i="2"/>
  <c r="H21" i="2"/>
  <c r="BP21" i="2" s="1"/>
  <c r="BR20" i="2"/>
  <c r="BQ20" i="2"/>
  <c r="BM20" i="2"/>
  <c r="BJ20" i="2"/>
  <c r="BC20" i="2"/>
  <c r="AV20" i="2"/>
  <c r="AU20" i="2"/>
  <c r="AO20" i="2"/>
  <c r="AK20" i="2"/>
  <c r="AI20" i="2"/>
  <c r="W20" i="2"/>
  <c r="P20" i="2"/>
  <c r="O20" i="2"/>
  <c r="N20" i="2"/>
  <c r="M20" i="2"/>
  <c r="BT20" i="2" s="1"/>
  <c r="L20" i="2"/>
  <c r="K20" i="2"/>
  <c r="J20" i="2"/>
  <c r="AN20" i="2" s="1"/>
  <c r="I20" i="2"/>
  <c r="H20" i="2"/>
  <c r="G20" i="2"/>
  <c r="F20" i="2"/>
  <c r="E20" i="2"/>
  <c r="D20" i="2"/>
  <c r="C20" i="2"/>
  <c r="B20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I18" i="2"/>
  <c r="P17" i="2"/>
  <c r="P18" i="2" s="1"/>
  <c r="O17" i="2"/>
  <c r="L17" i="2"/>
  <c r="K17" i="2"/>
  <c r="I17" i="2"/>
  <c r="B17" i="2"/>
  <c r="B18" i="2" s="1"/>
  <c r="P16" i="2"/>
  <c r="O16" i="2"/>
  <c r="L16" i="2"/>
  <c r="I16" i="2"/>
  <c r="H16" i="2"/>
  <c r="G16" i="2"/>
  <c r="D16" i="2"/>
  <c r="D17" i="2" s="1"/>
  <c r="B16" i="2"/>
  <c r="BC15" i="2"/>
  <c r="BB15" i="2"/>
  <c r="AQ15" i="2"/>
  <c r="AP15" i="2"/>
  <c r="AN15" i="2"/>
  <c r="AM15" i="2"/>
  <c r="AL15" i="2"/>
  <c r="X15" i="2"/>
  <c r="W15" i="2"/>
  <c r="P15" i="2"/>
  <c r="O15" i="2"/>
  <c r="N15" i="2"/>
  <c r="M15" i="2"/>
  <c r="L15" i="2"/>
  <c r="BT15" i="2" s="1"/>
  <c r="K15" i="2"/>
  <c r="K16" i="2" s="1"/>
  <c r="J15" i="2"/>
  <c r="I15" i="2"/>
  <c r="H15" i="2"/>
  <c r="BA15" i="2" s="1"/>
  <c r="G15" i="2"/>
  <c r="AK15" i="2" s="1"/>
  <c r="F15" i="2"/>
  <c r="F16" i="2" s="1"/>
  <c r="E15" i="2"/>
  <c r="D15" i="2"/>
  <c r="C15" i="2"/>
  <c r="Q15" i="2" s="1"/>
  <c r="B15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C12" i="2"/>
  <c r="AG11" i="2"/>
  <c r="S11" i="2"/>
  <c r="R11" i="2"/>
  <c r="O11" i="2"/>
  <c r="N11" i="2"/>
  <c r="G11" i="2"/>
  <c r="F11" i="2"/>
  <c r="D11" i="2"/>
  <c r="AH11" i="2" s="1"/>
  <c r="C11" i="2"/>
  <c r="BW10" i="2"/>
  <c r="BV10" i="2"/>
  <c r="BL10" i="2"/>
  <c r="BK10" i="2"/>
  <c r="BH10" i="2"/>
  <c r="BG10" i="2"/>
  <c r="BF10" i="2"/>
  <c r="BE10" i="2"/>
  <c r="BC10" i="2"/>
  <c r="AW10" i="2"/>
  <c r="AV10" i="2"/>
  <c r="AS10" i="2"/>
  <c r="AR10" i="2"/>
  <c r="AN10" i="2"/>
  <c r="AM10" i="2"/>
  <c r="AL10" i="2"/>
  <c r="AK10" i="2"/>
  <c r="AH10" i="2"/>
  <c r="AG10" i="2"/>
  <c r="AD10" i="2"/>
  <c r="AC10" i="2"/>
  <c r="W10" i="2"/>
  <c r="T10" i="2"/>
  <c r="R10" i="2"/>
  <c r="P10" i="2"/>
  <c r="P11" i="2" s="1"/>
  <c r="O10" i="2"/>
  <c r="N10" i="2"/>
  <c r="M10" i="2"/>
  <c r="L10" i="2"/>
  <c r="K10" i="2"/>
  <c r="J10" i="2"/>
  <c r="I10" i="2"/>
  <c r="H10" i="2"/>
  <c r="G10" i="2"/>
  <c r="F10" i="2"/>
  <c r="E10" i="2"/>
  <c r="V10" i="2" s="1"/>
  <c r="D10" i="2"/>
  <c r="S10" i="2" s="1"/>
  <c r="C10" i="2"/>
  <c r="B10" i="2"/>
  <c r="B11" i="2" s="1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7" i="2"/>
  <c r="O7" i="2"/>
  <c r="C7" i="2"/>
  <c r="C8" i="2" s="1"/>
  <c r="B7" i="2"/>
  <c r="BH6" i="2"/>
  <c r="BG6" i="2"/>
  <c r="AD6" i="2"/>
  <c r="AC6" i="2"/>
  <c r="P6" i="2"/>
  <c r="O6" i="2"/>
  <c r="N6" i="2"/>
  <c r="N7" i="2" s="1"/>
  <c r="N8" i="2" s="1"/>
  <c r="M6" i="2"/>
  <c r="M7" i="2" s="1"/>
  <c r="K6" i="2"/>
  <c r="J6" i="2"/>
  <c r="I6" i="2"/>
  <c r="C6" i="2"/>
  <c r="B6" i="2"/>
  <c r="BX5" i="2"/>
  <c r="BW5" i="2"/>
  <c r="BV5" i="2"/>
  <c r="BR5" i="2"/>
  <c r="BQ5" i="2"/>
  <c r="BP5" i="2"/>
  <c r="BI5" i="2"/>
  <c r="BH5" i="2"/>
  <c r="BG5" i="2"/>
  <c r="AS5" i="2"/>
  <c r="AR5" i="2"/>
  <c r="AN5" i="2"/>
  <c r="AM5" i="2"/>
  <c r="AK5" i="2"/>
  <c r="AI5" i="2"/>
  <c r="AH5" i="2"/>
  <c r="AC5" i="2"/>
  <c r="W5" i="2"/>
  <c r="R5" i="2"/>
  <c r="P5" i="2"/>
  <c r="O5" i="2"/>
  <c r="N5" i="2"/>
  <c r="AE5" i="2" s="1"/>
  <c r="M5" i="2"/>
  <c r="L5" i="2"/>
  <c r="K5" i="2"/>
  <c r="AB5" i="2" s="1"/>
  <c r="J5" i="2"/>
  <c r="I5" i="2"/>
  <c r="H5" i="2"/>
  <c r="G5" i="2"/>
  <c r="F5" i="2"/>
  <c r="E5" i="2"/>
  <c r="V5" i="2" s="1"/>
  <c r="D5" i="2"/>
  <c r="S5" i="2" s="1"/>
  <c r="C5" i="2"/>
  <c r="AG5" i="2" s="1"/>
  <c r="B5" i="2"/>
  <c r="Q5" i="2" s="1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AM16" i="2" l="1"/>
  <c r="AC11" i="2"/>
  <c r="AR11" i="2"/>
  <c r="BV11" i="2"/>
  <c r="BG11" i="2"/>
  <c r="N12" i="2"/>
  <c r="F67" i="2"/>
  <c r="AL16" i="2"/>
  <c r="BG36" i="2"/>
  <c r="AR36" i="2"/>
  <c r="AC36" i="2"/>
  <c r="N37" i="2"/>
  <c r="BV36" i="2"/>
  <c r="AK11" i="2"/>
  <c r="BO11" i="2"/>
  <c r="G12" i="2"/>
  <c r="V11" i="2"/>
  <c r="AZ11" i="2"/>
  <c r="H17" i="2"/>
  <c r="BP16" i="2"/>
  <c r="X16" i="2"/>
  <c r="W16" i="2"/>
  <c r="AN6" i="2"/>
  <c r="BC6" i="2"/>
  <c r="BR6" i="2"/>
  <c r="J7" i="2"/>
  <c r="Y6" i="2"/>
  <c r="BF5" i="2"/>
  <c r="Z6" i="2"/>
  <c r="AP10" i="2"/>
  <c r="L11" i="2"/>
  <c r="AA10" i="2"/>
  <c r="AO10" i="2"/>
  <c r="BT10" i="2"/>
  <c r="M8" i="2"/>
  <c r="AR31" i="2"/>
  <c r="BV31" i="2"/>
  <c r="M16" i="2"/>
  <c r="AB15" i="2"/>
  <c r="AA15" i="2"/>
  <c r="Z15" i="2"/>
  <c r="AO15" i="2"/>
  <c r="BU15" i="2"/>
  <c r="BF15" i="2"/>
  <c r="BE15" i="2"/>
  <c r="BD15" i="2"/>
  <c r="P32" i="2"/>
  <c r="BI31" i="2"/>
  <c r="AD45" i="2"/>
  <c r="AS45" i="2"/>
  <c r="BH45" i="2"/>
  <c r="O46" i="2"/>
  <c r="AE45" i="2"/>
  <c r="AK51" i="2"/>
  <c r="Y75" i="2"/>
  <c r="BC75" i="2"/>
  <c r="BR75" i="2"/>
  <c r="J76" i="2"/>
  <c r="AN75" i="2"/>
  <c r="X6" i="2"/>
  <c r="AM6" i="2"/>
  <c r="I7" i="2"/>
  <c r="BB6" i="2"/>
  <c r="BQ6" i="2"/>
  <c r="AP5" i="2"/>
  <c r="BT5" i="2"/>
  <c r="AA5" i="2"/>
  <c r="BU5" i="2"/>
  <c r="BS5" i="2"/>
  <c r="AQ5" i="2"/>
  <c r="AO5" i="2"/>
  <c r="L6" i="2"/>
  <c r="AO6" i="2" s="1"/>
  <c r="AD7" i="2"/>
  <c r="AS7" i="2"/>
  <c r="BH7" i="2"/>
  <c r="BW7" i="2"/>
  <c r="O8" i="2"/>
  <c r="AR8" i="2" s="1"/>
  <c r="BE5" i="2"/>
  <c r="AT7" i="2"/>
  <c r="BI7" i="2"/>
  <c r="BX7" i="2"/>
  <c r="P8" i="2"/>
  <c r="AE7" i="2"/>
  <c r="I26" i="2"/>
  <c r="AN26" i="2" s="1"/>
  <c r="AL25" i="2"/>
  <c r="BB25" i="2"/>
  <c r="X25" i="2"/>
  <c r="W25" i="2"/>
  <c r="BQ25" i="2"/>
  <c r="BP25" i="2"/>
  <c r="Y25" i="2"/>
  <c r="BA25" i="2"/>
  <c r="BC31" i="2"/>
  <c r="Y31" i="2"/>
  <c r="J32" i="2"/>
  <c r="AN31" i="2"/>
  <c r="BR31" i="2"/>
  <c r="BB31" i="2"/>
  <c r="BA31" i="2"/>
  <c r="Q51" i="2"/>
  <c r="AF51" i="2"/>
  <c r="AU51" i="2"/>
  <c r="B52" i="2"/>
  <c r="BJ51" i="2"/>
  <c r="AB10" i="2"/>
  <c r="M11" i="2"/>
  <c r="AQ10" i="2"/>
  <c r="BU10" i="2"/>
  <c r="C52" i="2"/>
  <c r="AV51" i="2"/>
  <c r="BK51" i="2"/>
  <c r="R51" i="2"/>
  <c r="AY11" i="2"/>
  <c r="BN11" i="2"/>
  <c r="F12" i="2"/>
  <c r="AJ11" i="2"/>
  <c r="U11" i="2"/>
  <c r="BV15" i="2"/>
  <c r="AC15" i="2"/>
  <c r="AR15" i="2"/>
  <c r="N16" i="2"/>
  <c r="AS15" i="2"/>
  <c r="BI15" i="2"/>
  <c r="BG15" i="2"/>
  <c r="BX15" i="2"/>
  <c r="BW15" i="2"/>
  <c r="AE15" i="2"/>
  <c r="AD15" i="2"/>
  <c r="G17" i="2"/>
  <c r="AZ16" i="2"/>
  <c r="BO16" i="2"/>
  <c r="V16" i="2"/>
  <c r="I33" i="2"/>
  <c r="BD25" i="2"/>
  <c r="AO25" i="2"/>
  <c r="BU25" i="2"/>
  <c r="U55" i="2"/>
  <c r="AY55" i="2"/>
  <c r="BO55" i="2"/>
  <c r="AX55" i="2"/>
  <c r="BN55" i="2"/>
  <c r="F56" i="2"/>
  <c r="V56" i="2" s="1"/>
  <c r="AK55" i="2"/>
  <c r="AJ55" i="2"/>
  <c r="BM55" i="2"/>
  <c r="AZ55" i="2"/>
  <c r="V55" i="2"/>
  <c r="T55" i="2"/>
  <c r="K18" i="2"/>
  <c r="J53" i="2"/>
  <c r="J66" i="2"/>
  <c r="BR65" i="2"/>
  <c r="AN65" i="2"/>
  <c r="BC65" i="2"/>
  <c r="BQ65" i="2"/>
  <c r="AL65" i="2"/>
  <c r="BP65" i="2"/>
  <c r="BB65" i="2"/>
  <c r="BA65" i="2"/>
  <c r="Y65" i="2"/>
  <c r="X65" i="2"/>
  <c r="BO46" i="2"/>
  <c r="G47" i="2"/>
  <c r="AZ46" i="2"/>
  <c r="AK46" i="2"/>
  <c r="U10" i="2"/>
  <c r="T30" i="2"/>
  <c r="E31" i="2"/>
  <c r="AI30" i="2"/>
  <c r="AX30" i="2"/>
  <c r="Q37" i="2"/>
  <c r="B38" i="2"/>
  <c r="AF37" i="2"/>
  <c r="O53" i="2"/>
  <c r="BI6" i="2"/>
  <c r="AE6" i="2"/>
  <c r="BX6" i="2"/>
  <c r="BE25" i="2"/>
  <c r="C38" i="2"/>
  <c r="AG37" i="2"/>
  <c r="AV37" i="2"/>
  <c r="BK37" i="2"/>
  <c r="R37" i="2"/>
  <c r="BQ45" i="2"/>
  <c r="BP45" i="2"/>
  <c r="X45" i="2"/>
  <c r="I46" i="2"/>
  <c r="W45" i="2"/>
  <c r="BB45" i="2"/>
  <c r="AT6" i="2"/>
  <c r="C21" i="2"/>
  <c r="BK20" i="2"/>
  <c r="AK30" i="2"/>
  <c r="BO30" i="2"/>
  <c r="AZ30" i="2"/>
  <c r="G31" i="2"/>
  <c r="D38" i="2"/>
  <c r="AH37" i="2"/>
  <c r="AW37" i="2"/>
  <c r="BL37" i="2"/>
  <c r="BV41" i="2"/>
  <c r="AC41" i="2"/>
  <c r="N42" i="2"/>
  <c r="AL5" i="2"/>
  <c r="H6" i="2"/>
  <c r="Y5" i="2"/>
  <c r="BA5" i="2"/>
  <c r="BA10" i="2"/>
  <c r="BP10" i="2"/>
  <c r="H11" i="2"/>
  <c r="X10" i="2"/>
  <c r="BL20" i="2"/>
  <c r="S20" i="2"/>
  <c r="D21" i="2"/>
  <c r="AW20" i="2"/>
  <c r="R20" i="2"/>
  <c r="Z25" i="2"/>
  <c r="AQ40" i="2"/>
  <c r="AP40" i="2"/>
  <c r="AB40" i="2"/>
  <c r="BU40" i="2"/>
  <c r="BT40" i="2"/>
  <c r="K46" i="2"/>
  <c r="Z45" i="2"/>
  <c r="BS45" i="2"/>
  <c r="AB45" i="2"/>
  <c r="BD45" i="2"/>
  <c r="AO45" i="2"/>
  <c r="AD11" i="2"/>
  <c r="AS11" i="2"/>
  <c r="BH11" i="2"/>
  <c r="K22" i="2"/>
  <c r="Y26" i="2"/>
  <c r="N22" i="2"/>
  <c r="BG21" i="2"/>
  <c r="AR21" i="2"/>
  <c r="AC21" i="2"/>
  <c r="AP50" i="2"/>
  <c r="BE50" i="2"/>
  <c r="BT50" i="2"/>
  <c r="L51" i="2"/>
  <c r="AA50" i="2"/>
  <c r="AC20" i="2"/>
  <c r="BV20" i="2"/>
  <c r="AR20" i="2"/>
  <c r="BF50" i="2"/>
  <c r="BU50" i="2"/>
  <c r="M51" i="2"/>
  <c r="AB50" i="2"/>
  <c r="T5" i="2"/>
  <c r="BJ15" i="2"/>
  <c r="O18" i="2"/>
  <c r="F17" i="2"/>
  <c r="BN16" i="2"/>
  <c r="AY16" i="2"/>
  <c r="AJ16" i="2"/>
  <c r="U16" i="2"/>
  <c r="X5" i="2"/>
  <c r="BB5" i="2"/>
  <c r="I11" i="2"/>
  <c r="BQ10" i="2"/>
  <c r="Y10" i="2"/>
  <c r="O12" i="2"/>
  <c r="AA25" i="2"/>
  <c r="BE40" i="2"/>
  <c r="BA45" i="2"/>
  <c r="V66" i="2"/>
  <c r="G67" i="2"/>
  <c r="BS6" i="2"/>
  <c r="K7" i="2"/>
  <c r="AQ25" i="2"/>
  <c r="E52" i="2"/>
  <c r="AI51" i="2"/>
  <c r="BO51" i="2"/>
  <c r="V51" i="2"/>
  <c r="T51" i="2"/>
  <c r="C61" i="2"/>
  <c r="AV60" i="2"/>
  <c r="BK60" i="2"/>
  <c r="BJ60" i="2"/>
  <c r="AF60" i="2"/>
  <c r="AG60" i="2"/>
  <c r="R60" i="2"/>
  <c r="AW60" i="2"/>
  <c r="AU60" i="2"/>
  <c r="BW11" i="2"/>
  <c r="L22" i="2"/>
  <c r="B42" i="2"/>
  <c r="BK42" i="2" s="1"/>
  <c r="AU41" i="2"/>
  <c r="BJ41" i="2"/>
  <c r="AH41" i="2"/>
  <c r="S41" i="2"/>
  <c r="R41" i="2"/>
  <c r="Q41" i="2"/>
  <c r="C13" i="2"/>
  <c r="O22" i="2"/>
  <c r="BW21" i="2"/>
  <c r="AS21" i="2"/>
  <c r="BH21" i="2"/>
  <c r="AD21" i="2"/>
  <c r="E6" i="2"/>
  <c r="BM5" i="2"/>
  <c r="BV6" i="2"/>
  <c r="BC5" i="2"/>
  <c r="BR10" i="2"/>
  <c r="J11" i="2"/>
  <c r="AV11" i="2"/>
  <c r="BK11" i="2"/>
  <c r="BJ16" i="2"/>
  <c r="AF16" i="2"/>
  <c r="AU16" i="2"/>
  <c r="AG20" i="2"/>
  <c r="BS25" i="2"/>
  <c r="J27" i="2"/>
  <c r="H32" i="2"/>
  <c r="AM32" i="2" s="1"/>
  <c r="BP31" i="2"/>
  <c r="W31" i="2"/>
  <c r="AL31" i="2"/>
  <c r="BH40" i="2"/>
  <c r="AS40" i="2"/>
  <c r="BG40" i="2"/>
  <c r="O41" i="2"/>
  <c r="BF40" i="2"/>
  <c r="AF41" i="2"/>
  <c r="E63" i="2"/>
  <c r="R15" i="2"/>
  <c r="AG15" i="2"/>
  <c r="AV15" i="2"/>
  <c r="AU15" i="2"/>
  <c r="AA20" i="2"/>
  <c r="AQ20" i="2"/>
  <c r="BD20" i="2"/>
  <c r="M21" i="2"/>
  <c r="BT21" i="2" s="1"/>
  <c r="BF20" i="2"/>
  <c r="BE20" i="2"/>
  <c r="AB20" i="2"/>
  <c r="BS20" i="2"/>
  <c r="AP20" i="2"/>
  <c r="K26" i="2"/>
  <c r="AW5" i="2"/>
  <c r="BL5" i="2"/>
  <c r="D6" i="2"/>
  <c r="BJ5" i="2"/>
  <c r="AC7" i="2"/>
  <c r="BV7" i="2"/>
  <c r="AR7" i="2"/>
  <c r="BG7" i="2"/>
  <c r="BG20" i="2"/>
  <c r="L27" i="2"/>
  <c r="AA26" i="2"/>
  <c r="AJ35" i="2"/>
  <c r="F36" i="2"/>
  <c r="AY35" i="2"/>
  <c r="BN35" i="2"/>
  <c r="U35" i="2"/>
  <c r="T35" i="2"/>
  <c r="C48" i="2"/>
  <c r="AR6" i="2"/>
  <c r="AI10" i="2"/>
  <c r="AX10" i="2"/>
  <c r="E11" i="2"/>
  <c r="BM10" i="2"/>
  <c r="BH20" i="2"/>
  <c r="BJ37" i="2"/>
  <c r="BN5" i="2"/>
  <c r="AY5" i="2"/>
  <c r="AJ5" i="2"/>
  <c r="U5" i="2"/>
  <c r="F6" i="2"/>
  <c r="AS6" i="2"/>
  <c r="AJ10" i="2"/>
  <c r="AY10" i="2"/>
  <c r="BN10" i="2"/>
  <c r="BK15" i="2"/>
  <c r="BV21" i="2"/>
  <c r="X36" i="2"/>
  <c r="I37" i="2"/>
  <c r="BA37" i="2" s="1"/>
  <c r="BA36" i="2"/>
  <c r="BQ36" i="2"/>
  <c r="AB41" i="2"/>
  <c r="BF41" i="2"/>
  <c r="M42" i="2"/>
  <c r="AM45" i="2"/>
  <c r="V46" i="2"/>
  <c r="H48" i="2"/>
  <c r="AX5" i="2"/>
  <c r="B8" i="2"/>
  <c r="AZ10" i="2"/>
  <c r="BO10" i="2"/>
  <c r="AZ15" i="2"/>
  <c r="BM15" i="2"/>
  <c r="BO15" i="2"/>
  <c r="V15" i="2"/>
  <c r="T15" i="2"/>
  <c r="Q20" i="2"/>
  <c r="Y36" i="2"/>
  <c r="J37" i="2"/>
  <c r="BR36" i="2"/>
  <c r="Y45" i="2"/>
  <c r="J46" i="2"/>
  <c r="BC45" i="2"/>
  <c r="AN45" i="2"/>
  <c r="Z5" i="2"/>
  <c r="BD5" i="2"/>
  <c r="AV6" i="2"/>
  <c r="AB6" i="2"/>
  <c r="BB10" i="2"/>
  <c r="D12" i="2"/>
  <c r="AW11" i="2"/>
  <c r="BL11" i="2"/>
  <c r="C16" i="2"/>
  <c r="AH16" i="2" s="1"/>
  <c r="AH20" i="2"/>
  <c r="BU20" i="2"/>
  <c r="AK26" i="2"/>
  <c r="V26" i="2"/>
  <c r="G27" i="2"/>
  <c r="BO26" i="2"/>
  <c r="BT25" i="2"/>
  <c r="BQ31" i="2"/>
  <c r="X31" i="2"/>
  <c r="AM31" i="2"/>
  <c r="BU36" i="2"/>
  <c r="BF36" i="2"/>
  <c r="AQ36" i="2"/>
  <c r="AB36" i="2"/>
  <c r="M37" i="2"/>
  <c r="S37" i="2"/>
  <c r="AR45" i="2"/>
  <c r="AT45" i="2"/>
  <c r="BI45" i="2"/>
  <c r="AC45" i="2"/>
  <c r="BG45" i="2"/>
  <c r="N46" i="2"/>
  <c r="BX45" i="2"/>
  <c r="BR45" i="2"/>
  <c r="B56" i="2"/>
  <c r="BK56" i="2" s="1"/>
  <c r="AU55" i="2"/>
  <c r="AF55" i="2"/>
  <c r="BJ55" i="2"/>
  <c r="Q55" i="2"/>
  <c r="P56" i="2"/>
  <c r="BI55" i="2"/>
  <c r="AE55" i="2"/>
  <c r="BH55" i="2"/>
  <c r="BG55" i="2"/>
  <c r="AC55" i="2"/>
  <c r="AR55" i="2"/>
  <c r="AT55" i="2"/>
  <c r="AC61" i="2"/>
  <c r="BB62" i="2"/>
  <c r="BQ62" i="2"/>
  <c r="AM62" i="2"/>
  <c r="I63" i="2"/>
  <c r="X62" i="2"/>
  <c r="AM75" i="2"/>
  <c r="BB75" i="2"/>
  <c r="BQ75" i="2"/>
  <c r="I76" i="2"/>
  <c r="X75" i="2"/>
  <c r="D18" i="2"/>
  <c r="AS20" i="2"/>
  <c r="BW20" i="2"/>
  <c r="P22" i="2"/>
  <c r="BX21" i="2"/>
  <c r="BI21" i="2"/>
  <c r="AE21" i="2"/>
  <c r="AP25" i="2"/>
  <c r="AS26" i="2"/>
  <c r="O27" i="2"/>
  <c r="BH26" i="2"/>
  <c r="AC26" i="2"/>
  <c r="AT26" i="2"/>
  <c r="BX26" i="2"/>
  <c r="AL30" i="2"/>
  <c r="BP30" i="2"/>
  <c r="AW36" i="2"/>
  <c r="BL36" i="2"/>
  <c r="BK36" i="2"/>
  <c r="L37" i="2"/>
  <c r="AP36" i="2"/>
  <c r="BJ40" i="2"/>
  <c r="S40" i="2"/>
  <c r="Q40" i="2"/>
  <c r="BI40" i="2"/>
  <c r="R42" i="2"/>
  <c r="C43" i="2"/>
  <c r="BT45" i="2"/>
  <c r="L46" i="2"/>
  <c r="AP45" i="2"/>
  <c r="AA45" i="2"/>
  <c r="BW6" i="2"/>
  <c r="BD10" i="2"/>
  <c r="Z10" i="2"/>
  <c r="AI15" i="2"/>
  <c r="E16" i="2"/>
  <c r="AK16" i="2" s="1"/>
  <c r="AF20" i="2"/>
  <c r="BI20" i="2"/>
  <c r="BX20" i="2"/>
  <c r="AE20" i="2"/>
  <c r="AT20" i="2"/>
  <c r="P27" i="2"/>
  <c r="BI26" i="2"/>
  <c r="AM30" i="2"/>
  <c r="X30" i="2"/>
  <c r="BQ30" i="2"/>
  <c r="AX35" i="2"/>
  <c r="E36" i="2"/>
  <c r="AI35" i="2"/>
  <c r="AE36" i="2"/>
  <c r="P37" i="2"/>
  <c r="BX36" i="2"/>
  <c r="BI36" i="2"/>
  <c r="AT36" i="2"/>
  <c r="BK40" i="2"/>
  <c r="D43" i="2"/>
  <c r="BR51" i="2"/>
  <c r="Y51" i="2"/>
  <c r="E57" i="2"/>
  <c r="AZ56" i="2"/>
  <c r="AU6" i="2"/>
  <c r="BQ16" i="2"/>
  <c r="BV27" i="2"/>
  <c r="BG27" i="2"/>
  <c r="AC27" i="2"/>
  <c r="W37" i="2"/>
  <c r="BX75" i="2"/>
  <c r="BI75" i="2"/>
  <c r="AE75" i="2"/>
  <c r="AD75" i="2"/>
  <c r="AC75" i="2"/>
  <c r="BG75" i="2"/>
  <c r="AD5" i="2"/>
  <c r="AT5" i="2"/>
  <c r="AG6" i="2"/>
  <c r="BQ15" i="2"/>
  <c r="AA16" i="2"/>
  <c r="L18" i="2"/>
  <c r="F21" i="2"/>
  <c r="BN20" i="2"/>
  <c r="AJ20" i="2"/>
  <c r="U20" i="2"/>
  <c r="AY20" i="2"/>
  <c r="B21" i="2"/>
  <c r="J23" i="2"/>
  <c r="C26" i="2"/>
  <c r="BK25" i="2"/>
  <c r="AV25" i="2"/>
  <c r="AG25" i="2"/>
  <c r="R25" i="2"/>
  <c r="BJ25" i="2"/>
  <c r="Q25" i="2"/>
  <c r="M31" i="2"/>
  <c r="BF30" i="2"/>
  <c r="AP30" i="2"/>
  <c r="BU30" i="2"/>
  <c r="AL35" i="2"/>
  <c r="BB35" i="2"/>
  <c r="X35" i="2"/>
  <c r="BQ35" i="2"/>
  <c r="BO35" i="2"/>
  <c r="AA36" i="2"/>
  <c r="BJ36" i="2"/>
  <c r="G43" i="2"/>
  <c r="AF40" i="2"/>
  <c r="BL40" i="2"/>
  <c r="P41" i="2"/>
  <c r="BE45" i="2"/>
  <c r="L57" i="2"/>
  <c r="BT56" i="2"/>
  <c r="BE56" i="2"/>
  <c r="AP56" i="2"/>
  <c r="AA56" i="2"/>
  <c r="BS56" i="2"/>
  <c r="K61" i="2"/>
  <c r="BS60" i="2"/>
  <c r="AO60" i="2"/>
  <c r="BD60" i="2"/>
  <c r="AP60" i="2"/>
  <c r="BT60" i="2"/>
  <c r="G62" i="2"/>
  <c r="AZ61" i="2"/>
  <c r="V61" i="2"/>
  <c r="R6" i="2"/>
  <c r="E21" i="2"/>
  <c r="AX20" i="2"/>
  <c r="T20" i="2"/>
  <c r="BE36" i="2"/>
  <c r="S50" i="2"/>
  <c r="BL50" i="2"/>
  <c r="D51" i="2"/>
  <c r="AG51" i="2" s="1"/>
  <c r="AW50" i="2"/>
  <c r="R50" i="2"/>
  <c r="T61" i="2"/>
  <c r="AI61" i="2"/>
  <c r="BM61" i="2"/>
  <c r="T76" i="2"/>
  <c r="AY76" i="2"/>
  <c r="AX76" i="2"/>
  <c r="AZ76" i="2"/>
  <c r="V76" i="2"/>
  <c r="U76" i="2"/>
  <c r="BO76" i="2"/>
  <c r="AK76" i="2"/>
  <c r="E77" i="2"/>
  <c r="AI76" i="2"/>
  <c r="AJ76" i="2"/>
  <c r="BN76" i="2"/>
  <c r="BM76" i="2"/>
  <c r="AU5" i="2"/>
  <c r="BK5" i="2"/>
  <c r="B12" i="2"/>
  <c r="BK12" i="2" s="1"/>
  <c r="BJ11" i="2"/>
  <c r="AU11" i="2"/>
  <c r="AF11" i="2"/>
  <c r="Q11" i="2"/>
  <c r="P12" i="2"/>
  <c r="BX11" i="2"/>
  <c r="BI11" i="2"/>
  <c r="AT11" i="2"/>
  <c r="AE11" i="2"/>
  <c r="K11" i="2"/>
  <c r="BR15" i="2"/>
  <c r="J16" i="2"/>
  <c r="BP15" i="2"/>
  <c r="BB16" i="2"/>
  <c r="S25" i="2"/>
  <c r="AQ30" i="2"/>
  <c r="BC35" i="2"/>
  <c r="Y35" i="2"/>
  <c r="BP35" i="2"/>
  <c r="AF36" i="2"/>
  <c r="BP40" i="2"/>
  <c r="BA40" i="2"/>
  <c r="AL40" i="2"/>
  <c r="W40" i="2"/>
  <c r="H41" i="2"/>
  <c r="AG40" i="2"/>
  <c r="AK50" i="2"/>
  <c r="AJ50" i="2"/>
  <c r="F51" i="2"/>
  <c r="AI50" i="2"/>
  <c r="BM50" i="2"/>
  <c r="BO50" i="2"/>
  <c r="C57" i="2"/>
  <c r="Y15" i="2"/>
  <c r="H23" i="2"/>
  <c r="AL22" i="2"/>
  <c r="AE40" i="2"/>
  <c r="L43" i="2"/>
  <c r="BA46" i="2"/>
  <c r="BJ75" i="2"/>
  <c r="AW75" i="2"/>
  <c r="AU75" i="2"/>
  <c r="Q75" i="2"/>
  <c r="B76" i="2"/>
  <c r="AH76" i="2" s="1"/>
  <c r="AF5" i="2"/>
  <c r="AV5" i="2"/>
  <c r="AO16" i="2"/>
  <c r="BS15" i="2"/>
  <c r="AS16" i="2"/>
  <c r="BW16" i="2"/>
  <c r="E26" i="2"/>
  <c r="BM25" i="2"/>
  <c r="AX25" i="2"/>
  <c r="AI25" i="2"/>
  <c r="T25" i="2"/>
  <c r="AU25" i="2"/>
  <c r="AD26" i="2"/>
  <c r="BG26" i="2"/>
  <c r="N28" i="2"/>
  <c r="K37" i="2"/>
  <c r="BS36" i="2"/>
  <c r="BD36" i="2"/>
  <c r="AO36" i="2"/>
  <c r="Z36" i="2"/>
  <c r="BR35" i="2"/>
  <c r="AG36" i="2"/>
  <c r="AH40" i="2"/>
  <c r="AE46" i="2"/>
  <c r="P47" i="2"/>
  <c r="BI46" i="2"/>
  <c r="V50" i="2"/>
  <c r="AQ60" i="2"/>
  <c r="BF60" i="2"/>
  <c r="M61" i="2"/>
  <c r="BS10" i="2"/>
  <c r="AX15" i="2"/>
  <c r="AT16" i="2"/>
  <c r="BX16" i="2"/>
  <c r="AD20" i="2"/>
  <c r="I22" i="2"/>
  <c r="BR22" i="2" s="1"/>
  <c r="BQ21" i="2"/>
  <c r="W21" i="2"/>
  <c r="AY26" i="2"/>
  <c r="AJ26" i="2"/>
  <c r="U26" i="2"/>
  <c r="F27" i="2"/>
  <c r="AW25" i="2"/>
  <c r="H27" i="2"/>
  <c r="BA26" i="2"/>
  <c r="AL26" i="2"/>
  <c r="AE26" i="2"/>
  <c r="BE35" i="2"/>
  <c r="AP35" i="2"/>
  <c r="AM35" i="2"/>
  <c r="BT35" i="2"/>
  <c r="AH36" i="2"/>
  <c r="BT36" i="2"/>
  <c r="P76" i="2"/>
  <c r="BV76" i="2" s="1"/>
  <c r="BR25" i="2"/>
  <c r="BC25" i="2"/>
  <c r="D27" i="2"/>
  <c r="F31" i="2"/>
  <c r="AJ30" i="2"/>
  <c r="AR40" i="2"/>
  <c r="BF45" i="2"/>
  <c r="M46" i="2"/>
  <c r="AQ45" i="2"/>
  <c r="BE55" i="2"/>
  <c r="BF55" i="2"/>
  <c r="AA55" i="2"/>
  <c r="Z55" i="2"/>
  <c r="BD56" i="2"/>
  <c r="AD70" i="2"/>
  <c r="O71" i="2"/>
  <c r="AS70" i="2"/>
  <c r="BH70" i="2"/>
  <c r="BW70" i="2"/>
  <c r="BA75" i="2"/>
  <c r="AL75" i="2"/>
  <c r="H76" i="2"/>
  <c r="W75" i="2"/>
  <c r="BP75" i="2"/>
  <c r="AE10" i="2"/>
  <c r="AT10" i="2"/>
  <c r="BI10" i="2"/>
  <c r="BX10" i="2"/>
  <c r="BH15" i="2"/>
  <c r="Z20" i="2"/>
  <c r="AN25" i="2"/>
  <c r="M27" i="2"/>
  <c r="BD30" i="2"/>
  <c r="BN30" i="2"/>
  <c r="K31" i="2"/>
  <c r="V35" i="2"/>
  <c r="AK35" i="2"/>
  <c r="G36" i="2"/>
  <c r="BK41" i="2"/>
  <c r="AV41" i="2"/>
  <c r="AG41" i="2"/>
  <c r="D46" i="2"/>
  <c r="BL45" i="2"/>
  <c r="AW45" i="2"/>
  <c r="AH45" i="2"/>
  <c r="S45" i="2"/>
  <c r="BK45" i="2"/>
  <c r="AL50" i="2"/>
  <c r="AM50" i="2"/>
  <c r="H51" i="2"/>
  <c r="AN51" i="2" s="1"/>
  <c r="BC50" i="2"/>
  <c r="BK55" i="2"/>
  <c r="AG55" i="2"/>
  <c r="AV55" i="2"/>
  <c r="BD55" i="2"/>
  <c r="AZ5" i="2"/>
  <c r="BO5" i="2"/>
  <c r="G6" i="2"/>
  <c r="Q10" i="2"/>
  <c r="AF10" i="2"/>
  <c r="AU10" i="2"/>
  <c r="BJ10" i="2"/>
  <c r="AF15" i="2"/>
  <c r="BL15" i="2"/>
  <c r="AW15" i="2"/>
  <c r="AH15" i="2"/>
  <c r="S15" i="2"/>
  <c r="AT15" i="2"/>
  <c r="B26" i="2"/>
  <c r="BL26" i="2" s="1"/>
  <c r="AF25" i="2"/>
  <c r="BL25" i="2"/>
  <c r="BE30" i="2"/>
  <c r="L31" i="2"/>
  <c r="AZ35" i="2"/>
  <c r="BP36" i="2"/>
  <c r="W36" i="2"/>
  <c r="AC40" i="2"/>
  <c r="AG46" i="2"/>
  <c r="BK46" i="2"/>
  <c r="X50" i="2"/>
  <c r="AD51" i="2"/>
  <c r="AW55" i="2"/>
  <c r="S55" i="2"/>
  <c r="BL55" i="2"/>
  <c r="D56" i="2"/>
  <c r="AH55" i="2"/>
  <c r="R55" i="2"/>
  <c r="BS55" i="2"/>
  <c r="C77" i="2"/>
  <c r="N62" i="2"/>
  <c r="BH61" i="2"/>
  <c r="BG61" i="2"/>
  <c r="AD61" i="2"/>
  <c r="AS61" i="2"/>
  <c r="AR61" i="2"/>
  <c r="BJ72" i="2"/>
  <c r="B73" i="2"/>
  <c r="AF72" i="2"/>
  <c r="AS75" i="2"/>
  <c r="AS36" i="2"/>
  <c r="AD36" i="2"/>
  <c r="O37" i="2"/>
  <c r="BW36" i="2"/>
  <c r="BH36" i="2"/>
  <c r="Q36" i="2"/>
  <c r="AW41" i="2"/>
  <c r="E47" i="2"/>
  <c r="BM46" i="2"/>
  <c r="AX46" i="2"/>
  <c r="AI46" i="2"/>
  <c r="T46" i="2"/>
  <c r="N51" i="2"/>
  <c r="BV50" i="2"/>
  <c r="BG50" i="2"/>
  <c r="BP55" i="2"/>
  <c r="H56" i="2"/>
  <c r="AL55" i="2"/>
  <c r="X55" i="2"/>
  <c r="M57" i="2"/>
  <c r="BU56" i="2"/>
  <c r="AB56" i="2"/>
  <c r="AQ56" i="2"/>
  <c r="BF56" i="2"/>
  <c r="D61" i="2"/>
  <c r="AH60" i="2"/>
  <c r="H63" i="2"/>
  <c r="BP62" i="2"/>
  <c r="BA62" i="2"/>
  <c r="AL62" i="2"/>
  <c r="W62" i="2"/>
  <c r="S16" i="2"/>
  <c r="AW16" i="2"/>
  <c r="BL16" i="2"/>
  <c r="G21" i="2"/>
  <c r="BO20" i="2"/>
  <c r="AZ20" i="2"/>
  <c r="V20" i="2"/>
  <c r="AB25" i="2"/>
  <c r="BH30" i="2"/>
  <c r="O31" i="2"/>
  <c r="BG31" i="2" s="1"/>
  <c r="BW30" i="2"/>
  <c r="D33" i="2"/>
  <c r="AU36" i="2"/>
  <c r="R40" i="2"/>
  <c r="E41" i="2"/>
  <c r="F47" i="2"/>
  <c r="BN46" i="2"/>
  <c r="AY46" i="2"/>
  <c r="AJ46" i="2"/>
  <c r="U46" i="2"/>
  <c r="AZ51" i="2"/>
  <c r="G53" i="2"/>
  <c r="BM60" i="2"/>
  <c r="AI60" i="2"/>
  <c r="S60" i="2"/>
  <c r="AZ60" i="2"/>
  <c r="BT70" i="2"/>
  <c r="AP70" i="2"/>
  <c r="AA70" i="2"/>
  <c r="L71" i="2"/>
  <c r="BE70" i="2"/>
  <c r="G73" i="2"/>
  <c r="L76" i="2"/>
  <c r="Z76" i="2" s="1"/>
  <c r="BS75" i="2"/>
  <c r="AP75" i="2"/>
  <c r="Z75" i="2"/>
  <c r="AO75" i="2"/>
  <c r="BD75" i="2"/>
  <c r="BU75" i="2"/>
  <c r="BT75" i="2"/>
  <c r="AA75" i="2"/>
  <c r="Q35" i="2"/>
  <c r="AU50" i="2"/>
  <c r="BI50" i="2"/>
  <c r="P51" i="2"/>
  <c r="BX50" i="2"/>
  <c r="BK50" i="2"/>
  <c r="Y55" i="2"/>
  <c r="J56" i="2"/>
  <c r="BC55" i="2"/>
  <c r="BQ55" i="2"/>
  <c r="AJ60" i="2"/>
  <c r="F61" i="2"/>
  <c r="BO61" i="2" s="1"/>
  <c r="BN60" i="2"/>
  <c r="T60" i="2"/>
  <c r="BF70" i="2"/>
  <c r="AQ70" i="2"/>
  <c r="AB70" i="2"/>
  <c r="BU70" i="2"/>
  <c r="M71" i="2"/>
  <c r="U15" i="2"/>
  <c r="AJ15" i="2"/>
  <c r="AY15" i="2"/>
  <c r="BN15" i="2"/>
  <c r="BP20" i="2"/>
  <c r="BB20" i="2"/>
  <c r="BA20" i="2"/>
  <c r="AM20" i="2"/>
  <c r="AL20" i="2"/>
  <c r="X20" i="2"/>
  <c r="BF25" i="2"/>
  <c r="BL35" i="2"/>
  <c r="R35" i="2"/>
  <c r="F41" i="2"/>
  <c r="BN40" i="2"/>
  <c r="AY40" i="2"/>
  <c r="AJ40" i="2"/>
  <c r="U40" i="2"/>
  <c r="AG50" i="2"/>
  <c r="Q50" i="2"/>
  <c r="I53" i="2"/>
  <c r="BR55" i="2"/>
  <c r="V60" i="2"/>
  <c r="U60" i="2"/>
  <c r="BI65" i="2"/>
  <c r="BX65" i="2"/>
  <c r="P66" i="2"/>
  <c r="O67" i="2"/>
  <c r="BW66" i="2"/>
  <c r="AD66" i="2"/>
  <c r="BH66" i="2"/>
  <c r="AS66" i="2"/>
  <c r="AR66" i="2"/>
  <c r="AR70" i="2"/>
  <c r="BI70" i="2"/>
  <c r="AC70" i="2"/>
  <c r="BX70" i="2"/>
  <c r="N71" i="2"/>
  <c r="BG70" i="2"/>
  <c r="AT70" i="2"/>
  <c r="BV30" i="2"/>
  <c r="AC30" i="2"/>
  <c r="AR30" i="2"/>
  <c r="BG30" i="2"/>
  <c r="Z35" i="2"/>
  <c r="AO35" i="2"/>
  <c r="BD35" i="2"/>
  <c r="BS35" i="2"/>
  <c r="AZ41" i="2"/>
  <c r="Q45" i="2"/>
  <c r="AF45" i="2"/>
  <c r="AU45" i="2"/>
  <c r="BJ46" i="2"/>
  <c r="BB50" i="2"/>
  <c r="BR50" i="2"/>
  <c r="K51" i="2"/>
  <c r="BH51" i="2"/>
  <c r="AS65" i="2"/>
  <c r="AC65" i="2"/>
  <c r="BH65" i="2"/>
  <c r="AR65" i="2"/>
  <c r="BW65" i="2"/>
  <c r="BG65" i="2"/>
  <c r="AD65" i="2"/>
  <c r="AG75" i="2"/>
  <c r="AT30" i="2"/>
  <c r="AE30" i="2"/>
  <c r="AU30" i="2"/>
  <c r="BJ30" i="2"/>
  <c r="B31" i="2"/>
  <c r="AB35" i="2"/>
  <c r="AQ35" i="2"/>
  <c r="BF35" i="2"/>
  <c r="BU35" i="2"/>
  <c r="BB40" i="2"/>
  <c r="BQ40" i="2"/>
  <c r="I41" i="2"/>
  <c r="AN50" i="2"/>
  <c r="BD50" i="2"/>
  <c r="AB55" i="2"/>
  <c r="G58" i="2"/>
  <c r="K57" i="2"/>
  <c r="C66" i="2"/>
  <c r="BK65" i="2"/>
  <c r="BJ65" i="2"/>
  <c r="AG65" i="2"/>
  <c r="AV65" i="2"/>
  <c r="AF65" i="2"/>
  <c r="Q65" i="2"/>
  <c r="BT66" i="2"/>
  <c r="BS66" i="2"/>
  <c r="L67" i="2"/>
  <c r="BD66" i="2"/>
  <c r="Z66" i="2"/>
  <c r="BE66" i="2"/>
  <c r="AW71" i="2"/>
  <c r="D72" i="2"/>
  <c r="Q72" i="2" s="1"/>
  <c r="S71" i="2"/>
  <c r="AU71" i="2"/>
  <c r="BN77" i="2"/>
  <c r="AY77" i="2"/>
  <c r="AJ77" i="2"/>
  <c r="F78" i="2"/>
  <c r="Y20" i="2"/>
  <c r="U25" i="2"/>
  <c r="AJ25" i="2"/>
  <c r="AY25" i="2"/>
  <c r="BN25" i="2"/>
  <c r="R30" i="2"/>
  <c r="Q30" i="2"/>
  <c r="AG30" i="2"/>
  <c r="AV30" i="2"/>
  <c r="BK30" i="2"/>
  <c r="C31" i="2"/>
  <c r="S31" i="2" s="1"/>
  <c r="AC35" i="2"/>
  <c r="AR35" i="2"/>
  <c r="BG35" i="2"/>
  <c r="BV35" i="2"/>
  <c r="AN40" i="2"/>
  <c r="X40" i="2"/>
  <c r="AM40" i="2"/>
  <c r="BC40" i="2"/>
  <c r="BR40" i="2"/>
  <c r="J41" i="2"/>
  <c r="T45" i="2"/>
  <c r="AI45" i="2"/>
  <c r="AX45" i="2"/>
  <c r="BM45" i="2"/>
  <c r="AO50" i="2"/>
  <c r="BL65" i="2"/>
  <c r="S65" i="2"/>
  <c r="AH65" i="2"/>
  <c r="D66" i="2"/>
  <c r="R65" i="2"/>
  <c r="BU66" i="2"/>
  <c r="AB66" i="2"/>
  <c r="M67" i="2"/>
  <c r="BF66" i="2"/>
  <c r="J71" i="2"/>
  <c r="BC70" i="2"/>
  <c r="Y70" i="2"/>
  <c r="BA70" i="2"/>
  <c r="AN70" i="2"/>
  <c r="V25" i="2"/>
  <c r="AK25" i="2"/>
  <c r="AZ25" i="2"/>
  <c r="BO25" i="2"/>
  <c r="S30" i="2"/>
  <c r="AH30" i="2"/>
  <c r="AW30" i="2"/>
  <c r="BL30" i="2"/>
  <c r="AW31" i="2"/>
  <c r="BL31" i="2"/>
  <c r="AD35" i="2"/>
  <c r="AS35" i="2"/>
  <c r="BH35" i="2"/>
  <c r="BW35" i="2"/>
  <c r="Z40" i="2"/>
  <c r="Y40" i="2"/>
  <c r="AO40" i="2"/>
  <c r="BD40" i="2"/>
  <c r="BS40" i="2"/>
  <c r="K41" i="2"/>
  <c r="BT41" i="2" s="1"/>
  <c r="U45" i="2"/>
  <c r="AJ45" i="2"/>
  <c r="AY45" i="2"/>
  <c r="BN45" i="2"/>
  <c r="AD55" i="2"/>
  <c r="Z56" i="2"/>
  <c r="K71" i="2"/>
  <c r="AO70" i="2"/>
  <c r="BD70" i="2"/>
  <c r="Z70" i="2"/>
  <c r="K78" i="2"/>
  <c r="BW50" i="2"/>
  <c r="AD50" i="2"/>
  <c r="AS50" i="2"/>
  <c r="BH50" i="2"/>
  <c r="AO55" i="2"/>
  <c r="AS55" i="2"/>
  <c r="BE60" i="2"/>
  <c r="L61" i="2"/>
  <c r="AC66" i="2"/>
  <c r="BG66" i="2"/>
  <c r="N67" i="2"/>
  <c r="E72" i="2"/>
  <c r="AV72" i="2"/>
  <c r="BK72" i="2"/>
  <c r="C73" i="2"/>
  <c r="R72" i="2"/>
  <c r="D77" i="2"/>
  <c r="BL76" i="2"/>
  <c r="BU55" i="2"/>
  <c r="AC60" i="2"/>
  <c r="BW60" i="2"/>
  <c r="BH60" i="2"/>
  <c r="AS60" i="2"/>
  <c r="AD60" i="2"/>
  <c r="BG60" i="2"/>
  <c r="BV60" i="2"/>
  <c r="BA61" i="2"/>
  <c r="AL61" i="2"/>
  <c r="AQ75" i="2"/>
  <c r="M76" i="2"/>
  <c r="AZ77" i="2"/>
  <c r="BO77" i="2"/>
  <c r="G78" i="2"/>
  <c r="V77" i="2"/>
  <c r="AM61" i="2"/>
  <c r="BB61" i="2"/>
  <c r="BW55" i="2"/>
  <c r="O56" i="2"/>
  <c r="BV56" i="2" s="1"/>
  <c r="Y61" i="2"/>
  <c r="BC61" i="2"/>
  <c r="J62" i="2"/>
  <c r="O76" i="2"/>
  <c r="BW75" i="2"/>
  <c r="BV75" i="2"/>
  <c r="BH75" i="2"/>
  <c r="AC76" i="2"/>
  <c r="AR76" i="2"/>
  <c r="BG76" i="2"/>
  <c r="N77" i="2"/>
  <c r="W65" i="2"/>
  <c r="H66" i="2"/>
  <c r="AM65" i="2"/>
  <c r="AR75" i="2"/>
  <c r="H71" i="2"/>
  <c r="W70" i="2"/>
  <c r="AV75" i="2"/>
  <c r="BK75" i="2"/>
  <c r="R75" i="2"/>
  <c r="X70" i="2"/>
  <c r="I71" i="2"/>
  <c r="AV71" i="2"/>
  <c r="AM60" i="2"/>
  <c r="E66" i="2"/>
  <c r="BM65" i="2"/>
  <c r="AI70" i="2"/>
  <c r="BO70" i="2"/>
  <c r="AX70" i="2"/>
  <c r="BM70" i="2"/>
  <c r="V70" i="2"/>
  <c r="AH75" i="2"/>
  <c r="S75" i="2"/>
  <c r="W60" i="2"/>
  <c r="AN60" i="2"/>
  <c r="T65" i="2"/>
  <c r="X66" i="2"/>
  <c r="I67" i="2"/>
  <c r="U70" i="2"/>
  <c r="AY70" i="2"/>
  <c r="BN70" i="2"/>
  <c r="F71" i="2"/>
  <c r="AZ71" i="2" s="1"/>
  <c r="AK65" i="2"/>
  <c r="U65" i="2"/>
  <c r="K68" i="2"/>
  <c r="Z67" i="2"/>
  <c r="AO67" i="2"/>
  <c r="BB66" i="2"/>
  <c r="BL75" i="2"/>
  <c r="P61" i="2"/>
  <c r="BD65" i="2"/>
  <c r="Z65" i="2"/>
  <c r="AQ65" i="2"/>
  <c r="AF70" i="2"/>
  <c r="T75" i="2"/>
  <c r="AJ75" i="2"/>
  <c r="AZ75" i="2"/>
  <c r="AE60" i="2"/>
  <c r="AT60" i="2"/>
  <c r="BI60" i="2"/>
  <c r="AP65" i="2"/>
  <c r="AA65" i="2"/>
  <c r="BK70" i="2"/>
  <c r="Q70" i="2"/>
  <c r="AG70" i="2"/>
  <c r="U75" i="2"/>
  <c r="AK75" i="2"/>
  <c r="R70" i="2"/>
  <c r="AH70" i="2"/>
  <c r="V75" i="2"/>
  <c r="V78" i="2" l="1"/>
  <c r="BN31" i="2"/>
  <c r="AJ31" i="2"/>
  <c r="U31" i="2"/>
  <c r="AY31" i="2"/>
  <c r="F32" i="2"/>
  <c r="T56" i="2"/>
  <c r="AR28" i="2"/>
  <c r="BG28" i="2"/>
  <c r="BP41" i="2"/>
  <c r="BA41" i="2"/>
  <c r="H42" i="2"/>
  <c r="W41" i="2"/>
  <c r="AL41" i="2"/>
  <c r="BC16" i="2"/>
  <c r="Y16" i="2"/>
  <c r="BR16" i="2"/>
  <c r="J17" i="2"/>
  <c r="BA17" i="2" s="1"/>
  <c r="AN16" i="2"/>
  <c r="AI21" i="2"/>
  <c r="T21" i="2"/>
  <c r="AX21" i="2"/>
  <c r="E22" i="2"/>
  <c r="BM21" i="2"/>
  <c r="BM56" i="2"/>
  <c r="AG42" i="2"/>
  <c r="P23" i="2"/>
  <c r="AE22" i="2"/>
  <c r="BI22" i="2"/>
  <c r="BX22" i="2"/>
  <c r="AT22" i="2"/>
  <c r="BU41" i="2"/>
  <c r="U6" i="2"/>
  <c r="AJ6" i="2"/>
  <c r="AY6" i="2"/>
  <c r="F7" i="2"/>
  <c r="BN6" i="2"/>
  <c r="BD6" i="2"/>
  <c r="V47" i="2"/>
  <c r="AK47" i="2"/>
  <c r="AZ47" i="2"/>
  <c r="G48" i="2"/>
  <c r="BO47" i="2"/>
  <c r="B53" i="2"/>
  <c r="BA16" i="2"/>
  <c r="U41" i="2"/>
  <c r="AY41" i="2"/>
  <c r="AJ41" i="2"/>
  <c r="BN41" i="2"/>
  <c r="F42" i="2"/>
  <c r="E58" i="2"/>
  <c r="V57" i="2"/>
  <c r="AI57" i="2"/>
  <c r="BE27" i="2"/>
  <c r="L28" i="2"/>
  <c r="BT27" i="2"/>
  <c r="J28" i="2"/>
  <c r="I12" i="2"/>
  <c r="BQ11" i="2"/>
  <c r="X11" i="2"/>
  <c r="BB11" i="2"/>
  <c r="AM11" i="2"/>
  <c r="AM46" i="2"/>
  <c r="BB46" i="2"/>
  <c r="I47" i="2"/>
  <c r="BQ46" i="2"/>
  <c r="BP46" i="2"/>
  <c r="X46" i="2"/>
  <c r="BU7" i="2"/>
  <c r="T66" i="2"/>
  <c r="AI66" i="2"/>
  <c r="AX66" i="2"/>
  <c r="E67" i="2"/>
  <c r="BM66" i="2"/>
  <c r="AQ76" i="2"/>
  <c r="AB76" i="2"/>
  <c r="M77" i="2"/>
  <c r="BU76" i="2"/>
  <c r="BF76" i="2"/>
  <c r="AW76" i="2"/>
  <c r="L62" i="2"/>
  <c r="BT61" i="2"/>
  <c r="BE61" i="2"/>
  <c r="AA61" i="2"/>
  <c r="AP61" i="2"/>
  <c r="BE67" i="2"/>
  <c r="AA67" i="2"/>
  <c r="AP67" i="2"/>
  <c r="L68" i="2"/>
  <c r="BT67" i="2"/>
  <c r="BD51" i="2"/>
  <c r="Z51" i="2"/>
  <c r="AO51" i="2"/>
  <c r="BS51" i="2"/>
  <c r="K52" i="2"/>
  <c r="BU57" i="2"/>
  <c r="AB57" i="2"/>
  <c r="M58" i="2"/>
  <c r="BF57" i="2"/>
  <c r="AQ57" i="2"/>
  <c r="M28" i="2"/>
  <c r="BU27" i="2"/>
  <c r="AQ27" i="2"/>
  <c r="BS67" i="2"/>
  <c r="K72" i="2"/>
  <c r="AO71" i="2"/>
  <c r="BD71" i="2"/>
  <c r="BS71" i="2"/>
  <c r="Z71" i="2"/>
  <c r="BB51" i="2"/>
  <c r="J57" i="2"/>
  <c r="Y56" i="2"/>
  <c r="AN56" i="2"/>
  <c r="BC56" i="2"/>
  <c r="BR56" i="2"/>
  <c r="BD61" i="2"/>
  <c r="BS61" i="2"/>
  <c r="AO61" i="2"/>
  <c r="K62" i="2"/>
  <c r="Z61" i="2"/>
  <c r="U21" i="2"/>
  <c r="BN21" i="2"/>
  <c r="F22" i="2"/>
  <c r="AJ21" i="2"/>
  <c r="AY21" i="2"/>
  <c r="E17" i="2"/>
  <c r="AI16" i="2"/>
  <c r="T16" i="2"/>
  <c r="BM16" i="2"/>
  <c r="AX16" i="2"/>
  <c r="AV42" i="2"/>
  <c r="BU37" i="2"/>
  <c r="AB37" i="2"/>
  <c r="M38" i="2"/>
  <c r="BF37" i="2"/>
  <c r="AQ37" i="2"/>
  <c r="AO21" i="2"/>
  <c r="BU6" i="2"/>
  <c r="G68" i="2"/>
  <c r="BO67" i="2"/>
  <c r="AZ67" i="2"/>
  <c r="V67" i="2"/>
  <c r="G18" i="2"/>
  <c r="BO17" i="2"/>
  <c r="V17" i="2"/>
  <c r="AZ17" i="2"/>
  <c r="AJ12" i="2"/>
  <c r="U12" i="2"/>
  <c r="AY12" i="2"/>
  <c r="F13" i="2"/>
  <c r="BW46" i="2"/>
  <c r="AD46" i="2"/>
  <c r="O47" i="2"/>
  <c r="AS46" i="2"/>
  <c r="BH46" i="2"/>
  <c r="BP17" i="2"/>
  <c r="H18" i="2"/>
  <c r="W17" i="2"/>
  <c r="BX56" i="2"/>
  <c r="AT56" i="2"/>
  <c r="BI56" i="2"/>
  <c r="P57" i="2"/>
  <c r="AE56" i="2"/>
  <c r="O38" i="2"/>
  <c r="BW37" i="2"/>
  <c r="BH37" i="2"/>
  <c r="AS37" i="2"/>
  <c r="AD37" i="2"/>
  <c r="AU38" i="2"/>
  <c r="BJ38" i="2"/>
  <c r="AF38" i="2"/>
  <c r="Q38" i="2"/>
  <c r="AQ6" i="2"/>
  <c r="BD67" i="2"/>
  <c r="AC8" i="2"/>
  <c r="AJ66" i="2"/>
  <c r="V71" i="2"/>
  <c r="BG56" i="2"/>
  <c r="BM71" i="2"/>
  <c r="AH31" i="2"/>
  <c r="Y71" i="2"/>
  <c r="AN71" i="2"/>
  <c r="BC71" i="2"/>
  <c r="BR71" i="2"/>
  <c r="J72" i="2"/>
  <c r="AR51" i="2"/>
  <c r="BW51" i="2"/>
  <c r="BV51" i="2"/>
  <c r="AC51" i="2"/>
  <c r="BG51" i="2"/>
  <c r="N52" i="2"/>
  <c r="AS51" i="2"/>
  <c r="BO36" i="2"/>
  <c r="V36" i="2"/>
  <c r="AZ36" i="2"/>
  <c r="G37" i="2"/>
  <c r="AK36" i="2"/>
  <c r="H28" i="2"/>
  <c r="AT12" i="2"/>
  <c r="AE12" i="2"/>
  <c r="BI12" i="2"/>
  <c r="BX12" i="2"/>
  <c r="P13" i="2"/>
  <c r="AK61" i="2"/>
  <c r="AA57" i="2"/>
  <c r="L58" i="2"/>
  <c r="BT57" i="2"/>
  <c r="AP57" i="2"/>
  <c r="BE57" i="2"/>
  <c r="AN23" i="2"/>
  <c r="BR23" i="2"/>
  <c r="S42" i="2"/>
  <c r="R56" i="2"/>
  <c r="AN37" i="2"/>
  <c r="BC37" i="2"/>
  <c r="Y37" i="2"/>
  <c r="BR37" i="2"/>
  <c r="J38" i="2"/>
  <c r="S6" i="2"/>
  <c r="BL6" i="2"/>
  <c r="Q6" i="2"/>
  <c r="D7" i="2"/>
  <c r="AH6" i="2"/>
  <c r="AW6" i="2"/>
  <c r="BK6" i="2"/>
  <c r="BJ6" i="2"/>
  <c r="AF6" i="2"/>
  <c r="AN11" i="2"/>
  <c r="Y11" i="2"/>
  <c r="J12" i="2"/>
  <c r="BC11" i="2"/>
  <c r="BR11" i="2"/>
  <c r="AV12" i="2"/>
  <c r="L23" i="2"/>
  <c r="AP22" i="2"/>
  <c r="AA22" i="2"/>
  <c r="F18" i="2"/>
  <c r="BN17" i="2"/>
  <c r="BC26" i="2"/>
  <c r="W6" i="2"/>
  <c r="AL6" i="2"/>
  <c r="BP6" i="2"/>
  <c r="BA6" i="2"/>
  <c r="H7" i="2"/>
  <c r="BK38" i="2"/>
  <c r="AG38" i="2"/>
  <c r="AV38" i="2"/>
  <c r="R38" i="2"/>
  <c r="X33" i="2"/>
  <c r="AE8" i="2"/>
  <c r="BX8" i="2"/>
  <c r="AT8" i="2"/>
  <c r="BI8" i="2"/>
  <c r="AE31" i="2"/>
  <c r="BV8" i="2"/>
  <c r="BN66" i="2"/>
  <c r="AA11" i="2"/>
  <c r="BE11" i="2"/>
  <c r="L12" i="2"/>
  <c r="AP11" i="2"/>
  <c r="BT11" i="2"/>
  <c r="BF71" i="2"/>
  <c r="BU71" i="2"/>
  <c r="M72" i="2"/>
  <c r="AB71" i="2"/>
  <c r="AQ71" i="2"/>
  <c r="C62" i="2"/>
  <c r="BJ61" i="2"/>
  <c r="AU61" i="2"/>
  <c r="AF61" i="2"/>
  <c r="Q61" i="2"/>
  <c r="BK61" i="2"/>
  <c r="AG61" i="2"/>
  <c r="AV61" i="2"/>
  <c r="R61" i="2"/>
  <c r="BO71" i="2"/>
  <c r="BH67" i="2"/>
  <c r="BW67" i="2"/>
  <c r="O68" i="2"/>
  <c r="AS67" i="2"/>
  <c r="AD67" i="2"/>
  <c r="BT71" i="2"/>
  <c r="BE71" i="2"/>
  <c r="AA71" i="2"/>
  <c r="AP71" i="2"/>
  <c r="L72" i="2"/>
  <c r="AA31" i="2"/>
  <c r="L32" i="2"/>
  <c r="AP31" i="2"/>
  <c r="BT31" i="2"/>
  <c r="BE31" i="2"/>
  <c r="W26" i="2"/>
  <c r="BM26" i="2"/>
  <c r="AX26" i="2"/>
  <c r="AI26" i="2"/>
  <c r="T26" i="2"/>
  <c r="E27" i="2"/>
  <c r="AZ27" i="2" s="1"/>
  <c r="AX61" i="2"/>
  <c r="E78" i="2"/>
  <c r="BO78" i="2" s="1"/>
  <c r="AI77" i="2"/>
  <c r="AX77" i="2"/>
  <c r="BM77" i="2"/>
  <c r="U77" i="2"/>
  <c r="T77" i="2"/>
  <c r="D52" i="2"/>
  <c r="AW51" i="2"/>
  <c r="BL51" i="2"/>
  <c r="AH51" i="2"/>
  <c r="S51" i="2"/>
  <c r="AN22" i="2"/>
  <c r="AT27" i="2"/>
  <c r="BX27" i="2"/>
  <c r="AE27" i="2"/>
  <c r="BI27" i="2"/>
  <c r="P28" i="2"/>
  <c r="AG56" i="2"/>
  <c r="AL37" i="2"/>
  <c r="BH27" i="2"/>
  <c r="BW27" i="2"/>
  <c r="AD27" i="2"/>
  <c r="O28" i="2"/>
  <c r="AS27" i="2"/>
  <c r="AR27" i="2"/>
  <c r="BV46" i="2"/>
  <c r="AC46" i="2"/>
  <c r="N47" i="2"/>
  <c r="BX47" i="2" s="1"/>
  <c r="AT46" i="2"/>
  <c r="AR46" i="2"/>
  <c r="BX46" i="2"/>
  <c r="BG46" i="2"/>
  <c r="D13" i="2"/>
  <c r="S12" i="2"/>
  <c r="AH12" i="2"/>
  <c r="AW12" i="2"/>
  <c r="BL12" i="2"/>
  <c r="BQ32" i="2"/>
  <c r="BK52" i="2"/>
  <c r="R52" i="2"/>
  <c r="AV52" i="2"/>
  <c r="C53" i="2"/>
  <c r="BC32" i="2"/>
  <c r="J33" i="2"/>
  <c r="Y32" i="2"/>
  <c r="AN32" i="2"/>
  <c r="BR32" i="2"/>
  <c r="J77" i="2"/>
  <c r="BR76" i="2"/>
  <c r="Y76" i="2"/>
  <c r="AN76" i="2"/>
  <c r="BC76" i="2"/>
  <c r="BX32" i="2"/>
  <c r="AE32" i="2"/>
  <c r="P33" i="2"/>
  <c r="N38" i="2"/>
  <c r="BV37" i="2"/>
  <c r="BG37" i="2"/>
  <c r="AR37" i="2"/>
  <c r="AC37" i="2"/>
  <c r="F68" i="2"/>
  <c r="BN67" i="2"/>
  <c r="AJ67" i="2"/>
  <c r="U67" i="2"/>
  <c r="AY67" i="2"/>
  <c r="F28" i="2"/>
  <c r="AA21" i="2"/>
  <c r="AH72" i="2"/>
  <c r="BL72" i="2"/>
  <c r="D73" i="2"/>
  <c r="S72" i="2"/>
  <c r="AW72" i="2"/>
  <c r="AG72" i="2"/>
  <c r="U61" i="2"/>
  <c r="AJ61" i="2"/>
  <c r="F62" i="2"/>
  <c r="AY61" i="2"/>
  <c r="BN61" i="2"/>
  <c r="S61" i="2"/>
  <c r="AH61" i="2"/>
  <c r="BL61" i="2"/>
  <c r="AW61" i="2"/>
  <c r="D62" i="2"/>
  <c r="AF73" i="2"/>
  <c r="AU73" i="2"/>
  <c r="G7" i="2"/>
  <c r="BO6" i="2"/>
  <c r="AZ6" i="2"/>
  <c r="AK6" i="2"/>
  <c r="V6" i="2"/>
  <c r="W46" i="2"/>
  <c r="AK62" i="2"/>
  <c r="AZ62" i="2"/>
  <c r="BO62" i="2"/>
  <c r="G63" i="2"/>
  <c r="V62" i="2"/>
  <c r="P42" i="2"/>
  <c r="AE41" i="2"/>
  <c r="BI41" i="2"/>
  <c r="AT41" i="2"/>
  <c r="BX41" i="2"/>
  <c r="BM11" i="2"/>
  <c r="E12" i="2"/>
  <c r="AI11" i="2"/>
  <c r="T11" i="2"/>
  <c r="AX11" i="2"/>
  <c r="BN36" i="2"/>
  <c r="AJ36" i="2"/>
  <c r="F37" i="2"/>
  <c r="U36" i="2"/>
  <c r="AY36" i="2"/>
  <c r="AG13" i="2"/>
  <c r="AI52" i="2"/>
  <c r="E53" i="2"/>
  <c r="T52" i="2"/>
  <c r="AK52" i="2"/>
  <c r="V52" i="2"/>
  <c r="AX52" i="2"/>
  <c r="BD21" i="2"/>
  <c r="BK21" i="2"/>
  <c r="AV21" i="2"/>
  <c r="AG21" i="2"/>
  <c r="R21" i="2"/>
  <c r="C22" i="2"/>
  <c r="BM31" i="2"/>
  <c r="E32" i="2"/>
  <c r="AI31" i="2"/>
  <c r="T31" i="2"/>
  <c r="AX31" i="2"/>
  <c r="AC16" i="2"/>
  <c r="AE16" i="2"/>
  <c r="BV16" i="2"/>
  <c r="AR16" i="2"/>
  <c r="AD16" i="2"/>
  <c r="N17" i="2"/>
  <c r="BI16" i="2"/>
  <c r="BH16" i="2"/>
  <c r="BG16" i="2"/>
  <c r="AT31" i="2"/>
  <c r="AC67" i="2"/>
  <c r="BG67" i="2"/>
  <c r="BV67" i="2"/>
  <c r="N68" i="2"/>
  <c r="AI41" i="2"/>
  <c r="AX41" i="2"/>
  <c r="E42" i="2"/>
  <c r="T41" i="2"/>
  <c r="BM41" i="2"/>
  <c r="BU61" i="2"/>
  <c r="BF61" i="2"/>
  <c r="M62" i="2"/>
  <c r="AB61" i="2"/>
  <c r="AQ61" i="2"/>
  <c r="M43" i="2"/>
  <c r="BU42" i="2"/>
  <c r="Z26" i="2"/>
  <c r="K27" i="2"/>
  <c r="BD26" i="2"/>
  <c r="BF26" i="2"/>
  <c r="AB26" i="2"/>
  <c r="BU26" i="2"/>
  <c r="BS26" i="2"/>
  <c r="AP26" i="2"/>
  <c r="AO26" i="2"/>
  <c r="AP51" i="2"/>
  <c r="AA51" i="2"/>
  <c r="BT51" i="2"/>
  <c r="BE51" i="2"/>
  <c r="L52" i="2"/>
  <c r="K23" i="2"/>
  <c r="BS22" i="2"/>
  <c r="BD22" i="2"/>
  <c r="Z22" i="2"/>
  <c r="AO22" i="2"/>
  <c r="N43" i="2"/>
  <c r="BN56" i="2"/>
  <c r="AY56" i="2"/>
  <c r="F57" i="2"/>
  <c r="U56" i="2"/>
  <c r="BO56" i="2"/>
  <c r="AK56" i="2"/>
  <c r="AJ56" i="2"/>
  <c r="AB11" i="2"/>
  <c r="AQ11" i="2"/>
  <c r="M12" i="2"/>
  <c r="BU11" i="2"/>
  <c r="BF11" i="2"/>
  <c r="BV12" i="2"/>
  <c r="BG12" i="2"/>
  <c r="AR12" i="2"/>
  <c r="N13" i="2"/>
  <c r="AC12" i="2"/>
  <c r="AK41" i="2"/>
  <c r="AR71" i="2"/>
  <c r="BV71" i="2"/>
  <c r="N72" i="2"/>
  <c r="AE71" i="2"/>
  <c r="AC71" i="2"/>
  <c r="BX71" i="2"/>
  <c r="AT71" i="2"/>
  <c r="BI71" i="2"/>
  <c r="BG71" i="2"/>
  <c r="BO21" i="2"/>
  <c r="V21" i="2"/>
  <c r="AK21" i="2"/>
  <c r="AZ21" i="2"/>
  <c r="G22" i="2"/>
  <c r="E48" i="2"/>
  <c r="BM47" i="2"/>
  <c r="AX47" i="2"/>
  <c r="AI47" i="2"/>
  <c r="T47" i="2"/>
  <c r="BJ26" i="2"/>
  <c r="B27" i="2"/>
  <c r="BL27" i="2" s="1"/>
  <c r="AU26" i="2"/>
  <c r="AF26" i="2"/>
  <c r="S26" i="2"/>
  <c r="Q26" i="2"/>
  <c r="AW26" i="2"/>
  <c r="AH26" i="2"/>
  <c r="AF12" i="2"/>
  <c r="Q12" i="2"/>
  <c r="B13" i="2"/>
  <c r="BJ12" i="2"/>
  <c r="AU12" i="2"/>
  <c r="AI56" i="2"/>
  <c r="BT46" i="2"/>
  <c r="BE46" i="2"/>
  <c r="L47" i="2"/>
  <c r="AP46" i="2"/>
  <c r="AA46" i="2"/>
  <c r="L38" i="2"/>
  <c r="BT37" i="2"/>
  <c r="BE37" i="2"/>
  <c r="AP37" i="2"/>
  <c r="AA37" i="2"/>
  <c r="G28" i="2"/>
  <c r="AK27" i="2"/>
  <c r="BE26" i="2"/>
  <c r="BA32" i="2"/>
  <c r="AL32" i="2"/>
  <c r="BP32" i="2"/>
  <c r="W32" i="2"/>
  <c r="H33" i="2"/>
  <c r="AI6" i="2"/>
  <c r="T6" i="2"/>
  <c r="E7" i="2"/>
  <c r="AX6" i="2"/>
  <c r="BM6" i="2"/>
  <c r="BD7" i="2"/>
  <c r="AO7" i="2"/>
  <c r="K8" i="2"/>
  <c r="J67" i="2"/>
  <c r="BQ67" i="2" s="1"/>
  <c r="Y66" i="2"/>
  <c r="BR66" i="2"/>
  <c r="AN66" i="2"/>
  <c r="BC66" i="2"/>
  <c r="BH8" i="2"/>
  <c r="BW8" i="2"/>
  <c r="AD8" i="2"/>
  <c r="AS8" i="2"/>
  <c r="AL66" i="2"/>
  <c r="BA66" i="2"/>
  <c r="BP66" i="2"/>
  <c r="W66" i="2"/>
  <c r="H67" i="2"/>
  <c r="BB67" i="2" s="1"/>
  <c r="AM66" i="2"/>
  <c r="AS56" i="2"/>
  <c r="BH56" i="2"/>
  <c r="AD56" i="2"/>
  <c r="O57" i="2"/>
  <c r="AC56" i="2"/>
  <c r="BW56" i="2"/>
  <c r="S77" i="2"/>
  <c r="AH77" i="2"/>
  <c r="AW77" i="2"/>
  <c r="D78" i="2"/>
  <c r="S66" i="2"/>
  <c r="AH66" i="2"/>
  <c r="AW66" i="2"/>
  <c r="BL66" i="2"/>
  <c r="D67" i="2"/>
  <c r="V41" i="2"/>
  <c r="AQ26" i="2"/>
  <c r="Z37" i="2"/>
  <c r="BD37" i="2"/>
  <c r="K38" i="2"/>
  <c r="BS37" i="2"/>
  <c r="AO37" i="2"/>
  <c r="M32" i="2"/>
  <c r="AQ31" i="2"/>
  <c r="BU31" i="2"/>
  <c r="BF31" i="2"/>
  <c r="AB31" i="2"/>
  <c r="P38" i="2"/>
  <c r="BX37" i="2"/>
  <c r="BI37" i="2"/>
  <c r="AT37" i="2"/>
  <c r="AE37" i="2"/>
  <c r="AR77" i="2"/>
  <c r="BV77" i="2"/>
  <c r="N78" i="2"/>
  <c r="AD71" i="2"/>
  <c r="O72" i="2"/>
  <c r="AS71" i="2"/>
  <c r="BH71" i="2"/>
  <c r="BW71" i="2"/>
  <c r="D28" i="2"/>
  <c r="Z11" i="2"/>
  <c r="K12" i="2"/>
  <c r="BD11" i="2"/>
  <c r="AO11" i="2"/>
  <c r="BS11" i="2"/>
  <c r="BM36" i="2"/>
  <c r="AI36" i="2"/>
  <c r="T36" i="2"/>
  <c r="E37" i="2"/>
  <c r="AX36" i="2"/>
  <c r="AV43" i="2"/>
  <c r="AG43" i="2"/>
  <c r="Y7" i="2"/>
  <c r="BC7" i="2"/>
  <c r="J8" i="2"/>
  <c r="AN7" i="2"/>
  <c r="AM71" i="2"/>
  <c r="X71" i="2"/>
  <c r="BQ71" i="2"/>
  <c r="BB71" i="2"/>
  <c r="I72" i="2"/>
  <c r="BN78" i="2"/>
  <c r="U78" i="2"/>
  <c r="AY78" i="2"/>
  <c r="AJ78" i="2"/>
  <c r="I42" i="2"/>
  <c r="BQ41" i="2"/>
  <c r="BB41" i="2"/>
  <c r="AM41" i="2"/>
  <c r="X41" i="2"/>
  <c r="BE76" i="2"/>
  <c r="AA76" i="2"/>
  <c r="AP76" i="2"/>
  <c r="L77" i="2"/>
  <c r="AO76" i="2"/>
  <c r="BT76" i="2"/>
  <c r="BD76" i="2"/>
  <c r="H57" i="2"/>
  <c r="W56" i="2"/>
  <c r="BA56" i="2"/>
  <c r="X56" i="2"/>
  <c r="BQ56" i="2"/>
  <c r="BB56" i="2"/>
  <c r="AL56" i="2"/>
  <c r="BP56" i="2"/>
  <c r="AM56" i="2"/>
  <c r="N63" i="2"/>
  <c r="BW62" i="2"/>
  <c r="BH62" i="2"/>
  <c r="D47" i="2"/>
  <c r="BL46" i="2"/>
  <c r="AW46" i="2"/>
  <c r="AH46" i="2"/>
  <c r="S46" i="2"/>
  <c r="AV46" i="2"/>
  <c r="R46" i="2"/>
  <c r="I23" i="2"/>
  <c r="BB22" i="2"/>
  <c r="AM22" i="2"/>
  <c r="BQ22" i="2"/>
  <c r="Y22" i="2"/>
  <c r="BC22" i="2"/>
  <c r="BA22" i="2"/>
  <c r="X22" i="2"/>
  <c r="W22" i="2"/>
  <c r="P48" i="2"/>
  <c r="BJ76" i="2"/>
  <c r="B77" i="2"/>
  <c r="AU76" i="2"/>
  <c r="Q76" i="2"/>
  <c r="AF76" i="2"/>
  <c r="S76" i="2"/>
  <c r="R76" i="2"/>
  <c r="BK76" i="2"/>
  <c r="BP22" i="2"/>
  <c r="BB37" i="2"/>
  <c r="BQ37" i="2"/>
  <c r="X37" i="2"/>
  <c r="I38" i="2"/>
  <c r="AM37" i="2"/>
  <c r="BU21" i="2"/>
  <c r="AB21" i="2"/>
  <c r="AQ21" i="2"/>
  <c r="M22" i="2"/>
  <c r="BT22" i="2" s="1"/>
  <c r="BF21" i="2"/>
  <c r="AD22" i="2"/>
  <c r="BW22" i="2"/>
  <c r="AS22" i="2"/>
  <c r="BH22" i="2"/>
  <c r="O23" i="2"/>
  <c r="BJ42" i="2"/>
  <c r="Q42" i="2"/>
  <c r="AU42" i="2"/>
  <c r="B43" i="2"/>
  <c r="AH42" i="2"/>
  <c r="BL42" i="2"/>
  <c r="AW42" i="2"/>
  <c r="AF42" i="2"/>
  <c r="AK66" i="2"/>
  <c r="AW38" i="2"/>
  <c r="BL38" i="2"/>
  <c r="AH38" i="2"/>
  <c r="S38" i="2"/>
  <c r="BT6" i="2"/>
  <c r="L7" i="2"/>
  <c r="BE6" i="2"/>
  <c r="AA6" i="2"/>
  <c r="AP6" i="2"/>
  <c r="AB7" i="2"/>
  <c r="AU46" i="2"/>
  <c r="AG76" i="2"/>
  <c r="W23" i="2"/>
  <c r="AF56" i="2"/>
  <c r="AU56" i="2"/>
  <c r="Q56" i="2"/>
  <c r="B57" i="2"/>
  <c r="AG57" i="2" s="1"/>
  <c r="BJ56" i="2"/>
  <c r="Y46" i="2"/>
  <c r="BC46" i="2"/>
  <c r="J47" i="2"/>
  <c r="AN46" i="2"/>
  <c r="BR46" i="2"/>
  <c r="BO66" i="2"/>
  <c r="AB51" i="2"/>
  <c r="BU51" i="2"/>
  <c r="BF51" i="2"/>
  <c r="M52" i="2"/>
  <c r="AQ51" i="2"/>
  <c r="AR22" i="2"/>
  <c r="AC22" i="2"/>
  <c r="BV22" i="2"/>
  <c r="BG22" i="2"/>
  <c r="N23" i="2"/>
  <c r="AW21" i="2"/>
  <c r="AH21" i="2"/>
  <c r="S21" i="2"/>
  <c r="BL21" i="2"/>
  <c r="D22" i="2"/>
  <c r="BO31" i="2"/>
  <c r="V31" i="2"/>
  <c r="AK31" i="2"/>
  <c r="G32" i="2"/>
  <c r="AZ31" i="2"/>
  <c r="I8" i="2"/>
  <c r="AM7" i="2"/>
  <c r="BQ7" i="2"/>
  <c r="AB16" i="2"/>
  <c r="BT16" i="2"/>
  <c r="BU16" i="2"/>
  <c r="M17" i="2"/>
  <c r="BS16" i="2"/>
  <c r="Z16" i="2"/>
  <c r="AQ16" i="2"/>
  <c r="AP16" i="2"/>
  <c r="BF16" i="2"/>
  <c r="V12" i="2"/>
  <c r="AZ12" i="2"/>
  <c r="AK12" i="2"/>
  <c r="BO12" i="2"/>
  <c r="G13" i="2"/>
  <c r="U66" i="2"/>
  <c r="BS76" i="2"/>
  <c r="F72" i="2"/>
  <c r="AY71" i="2"/>
  <c r="U71" i="2"/>
  <c r="T71" i="2"/>
  <c r="BN71" i="2"/>
  <c r="AJ71" i="2"/>
  <c r="AI71" i="2"/>
  <c r="AF46" i="2"/>
  <c r="P52" i="2"/>
  <c r="BX51" i="2"/>
  <c r="BI51" i="2"/>
  <c r="AT51" i="2"/>
  <c r="AE51" i="2"/>
  <c r="C78" i="2"/>
  <c r="H52" i="2"/>
  <c r="BA51" i="2"/>
  <c r="W51" i="2"/>
  <c r="AM51" i="2"/>
  <c r="AL51" i="2"/>
  <c r="BQ51" i="2"/>
  <c r="X51" i="2"/>
  <c r="BP51" i="2"/>
  <c r="BC51" i="2"/>
  <c r="BX76" i="2"/>
  <c r="BI76" i="2"/>
  <c r="P77" i="2"/>
  <c r="AE76" i="2"/>
  <c r="AT76" i="2"/>
  <c r="BK16" i="2"/>
  <c r="AG16" i="2"/>
  <c r="Q16" i="2"/>
  <c r="AV16" i="2"/>
  <c r="R16" i="2"/>
  <c r="C17" i="2"/>
  <c r="AD41" i="2"/>
  <c r="O42" i="2"/>
  <c r="BH41" i="2"/>
  <c r="BW41" i="2"/>
  <c r="AS41" i="2"/>
  <c r="AR41" i="2"/>
  <c r="BE21" i="2"/>
  <c r="AZ66" i="2"/>
  <c r="BQ26" i="2"/>
  <c r="X26" i="2"/>
  <c r="AM26" i="2"/>
  <c r="BB26" i="2"/>
  <c r="I27" i="2"/>
  <c r="BC27" i="2" s="1"/>
  <c r="AY66" i="2"/>
  <c r="AR56" i="2"/>
  <c r="AK71" i="2"/>
  <c r="C32" i="2"/>
  <c r="BK31" i="2"/>
  <c r="AV31" i="2"/>
  <c r="AG31" i="2"/>
  <c r="R31" i="2"/>
  <c r="Q46" i="2"/>
  <c r="O32" i="2"/>
  <c r="BW31" i="2"/>
  <c r="BH31" i="2"/>
  <c r="AS31" i="2"/>
  <c r="AD31" i="2"/>
  <c r="AV76" i="2"/>
  <c r="BP26" i="2"/>
  <c r="BE16" i="2"/>
  <c r="C58" i="2"/>
  <c r="C27" i="2"/>
  <c r="BK26" i="2"/>
  <c r="AV26" i="2"/>
  <c r="AG26" i="2"/>
  <c r="R26" i="2"/>
  <c r="AH43" i="2"/>
  <c r="AV56" i="2"/>
  <c r="BT26" i="2"/>
  <c r="AG12" i="2"/>
  <c r="AP21" i="2"/>
  <c r="BR26" i="2"/>
  <c r="BD46" i="2"/>
  <c r="K47" i="2"/>
  <c r="AO46" i="2"/>
  <c r="BS46" i="2"/>
  <c r="Z46" i="2"/>
  <c r="X32" i="2"/>
  <c r="BX31" i="2"/>
  <c r="BG8" i="2"/>
  <c r="AM67" i="2"/>
  <c r="I68" i="2"/>
  <c r="O77" i="2"/>
  <c r="AS76" i="2"/>
  <c r="BH76" i="2"/>
  <c r="BW76" i="2"/>
  <c r="AD76" i="2"/>
  <c r="T72" i="2"/>
  <c r="E73" i="2"/>
  <c r="K42" i="2"/>
  <c r="BS41" i="2"/>
  <c r="BD41" i="2"/>
  <c r="AO41" i="2"/>
  <c r="Z41" i="2"/>
  <c r="BE41" i="2"/>
  <c r="AP41" i="2"/>
  <c r="AA41" i="2"/>
  <c r="AQ67" i="2"/>
  <c r="BF67" i="2"/>
  <c r="AB67" i="2"/>
  <c r="M68" i="2"/>
  <c r="BU67" i="2"/>
  <c r="AU66" i="2"/>
  <c r="AG66" i="2"/>
  <c r="R66" i="2"/>
  <c r="Q66" i="2"/>
  <c r="AV66" i="2"/>
  <c r="AF66" i="2"/>
  <c r="BJ66" i="2"/>
  <c r="BK66" i="2"/>
  <c r="C67" i="2"/>
  <c r="BI66" i="2"/>
  <c r="BX66" i="2"/>
  <c r="AT66" i="2"/>
  <c r="BV66" i="2"/>
  <c r="P67" i="2"/>
  <c r="AE66" i="2"/>
  <c r="BX61" i="2"/>
  <c r="BI61" i="2"/>
  <c r="AT61" i="2"/>
  <c r="AE61" i="2"/>
  <c r="P62" i="2"/>
  <c r="AD62" i="2" s="1"/>
  <c r="BW61" i="2"/>
  <c r="BV61" i="2"/>
  <c r="BQ66" i="2"/>
  <c r="BA71" i="2"/>
  <c r="W71" i="2"/>
  <c r="AL71" i="2"/>
  <c r="BP71" i="2"/>
  <c r="H72" i="2"/>
  <c r="AN62" i="2"/>
  <c r="BR62" i="2"/>
  <c r="J63" i="2"/>
  <c r="Y62" i="2"/>
  <c r="BC62" i="2"/>
  <c r="AK77" i="2"/>
  <c r="AX71" i="2"/>
  <c r="J42" i="2"/>
  <c r="BR41" i="2"/>
  <c r="BC41" i="2"/>
  <c r="AN41" i="2"/>
  <c r="Y41" i="2"/>
  <c r="AO57" i="2"/>
  <c r="Z57" i="2"/>
  <c r="BS57" i="2"/>
  <c r="BD57" i="2"/>
  <c r="K58" i="2"/>
  <c r="B32" i="2"/>
  <c r="BJ31" i="2"/>
  <c r="AU31" i="2"/>
  <c r="AF31" i="2"/>
  <c r="Q31" i="2"/>
  <c r="BO41" i="2"/>
  <c r="U47" i="2"/>
  <c r="AJ47" i="2"/>
  <c r="BN47" i="2"/>
  <c r="AY47" i="2"/>
  <c r="F48" i="2"/>
  <c r="AU72" i="2"/>
  <c r="AW56" i="2"/>
  <c r="BL56" i="2"/>
  <c r="AH56" i="2"/>
  <c r="D57" i="2"/>
  <c r="S56" i="2"/>
  <c r="AO31" i="2"/>
  <c r="K32" i="2"/>
  <c r="BS31" i="2"/>
  <c r="BD31" i="2"/>
  <c r="Z31" i="2"/>
  <c r="BP76" i="2"/>
  <c r="BA76" i="2"/>
  <c r="H77" i="2"/>
  <c r="AL76" i="2"/>
  <c r="W76" i="2"/>
  <c r="BU46" i="2"/>
  <c r="BF46" i="2"/>
  <c r="M47" i="2"/>
  <c r="AB46" i="2"/>
  <c r="AQ46" i="2"/>
  <c r="BN26" i="2"/>
  <c r="BD16" i="2"/>
  <c r="AL46" i="2"/>
  <c r="F52" i="2"/>
  <c r="BM52" i="2" s="1"/>
  <c r="AY51" i="2"/>
  <c r="BN51" i="2"/>
  <c r="U51" i="2"/>
  <c r="AJ51" i="2"/>
  <c r="AX51" i="2"/>
  <c r="B22" i="2"/>
  <c r="BJ21" i="2"/>
  <c r="AU21" i="2"/>
  <c r="Q21" i="2"/>
  <c r="AF21" i="2"/>
  <c r="AX56" i="2"/>
  <c r="BP37" i="2"/>
  <c r="BQ76" i="2"/>
  <c r="I77" i="2"/>
  <c r="BB76" i="2"/>
  <c r="AM76" i="2"/>
  <c r="X76" i="2"/>
  <c r="AZ26" i="2"/>
  <c r="BF6" i="2"/>
  <c r="AQ41" i="2"/>
  <c r="R12" i="2"/>
  <c r="BM51" i="2"/>
  <c r="BH12" i="2"/>
  <c r="BW12" i="2"/>
  <c r="AD12" i="2"/>
  <c r="AS12" i="2"/>
  <c r="O13" i="2"/>
  <c r="Z21" i="2"/>
  <c r="W11" i="2"/>
  <c r="H12" i="2"/>
  <c r="BA11" i="2"/>
  <c r="BP11" i="2"/>
  <c r="AL11" i="2"/>
  <c r="BG41" i="2"/>
  <c r="BB32" i="2"/>
  <c r="AC31" i="2"/>
  <c r="BS21" i="2"/>
  <c r="BJ67" i="2" l="1"/>
  <c r="AV67" i="2"/>
  <c r="C68" i="2"/>
  <c r="BK67" i="2"/>
  <c r="R67" i="2"/>
  <c r="Q67" i="2"/>
  <c r="AF67" i="2"/>
  <c r="AU67" i="2"/>
  <c r="AG67" i="2"/>
  <c r="AD42" i="2"/>
  <c r="BH42" i="2"/>
  <c r="BW42" i="2"/>
  <c r="O43" i="2"/>
  <c r="AS42" i="2"/>
  <c r="M18" i="2"/>
  <c r="BF17" i="2"/>
  <c r="AQ17" i="2"/>
  <c r="BU17" i="2"/>
  <c r="AB17" i="2"/>
  <c r="Z17" i="2"/>
  <c r="AO17" i="2"/>
  <c r="AP17" i="2"/>
  <c r="BD17" i="2"/>
  <c r="BT17" i="2"/>
  <c r="AA17" i="2"/>
  <c r="BS17" i="2"/>
  <c r="BE17" i="2"/>
  <c r="S47" i="2"/>
  <c r="AW47" i="2"/>
  <c r="BL47" i="2"/>
  <c r="D48" i="2"/>
  <c r="AH47" i="2"/>
  <c r="AF47" i="2"/>
  <c r="AG47" i="2"/>
  <c r="BK47" i="2"/>
  <c r="R47" i="2"/>
  <c r="AU47" i="2"/>
  <c r="Q47" i="2"/>
  <c r="BJ47" i="2"/>
  <c r="AV47" i="2"/>
  <c r="O73" i="2"/>
  <c r="AD72" i="2"/>
  <c r="AS72" i="2"/>
  <c r="BW72" i="2"/>
  <c r="BH72" i="2"/>
  <c r="BN28" i="2"/>
  <c r="AY28" i="2"/>
  <c r="AJ28" i="2"/>
  <c r="U28" i="2"/>
  <c r="AP12" i="2"/>
  <c r="BE12" i="2"/>
  <c r="L13" i="2"/>
  <c r="BT12" i="2"/>
  <c r="AA12" i="2"/>
  <c r="BB47" i="2"/>
  <c r="BQ47" i="2"/>
  <c r="I48" i="2"/>
  <c r="X47" i="2"/>
  <c r="AM47" i="2"/>
  <c r="BA47" i="2"/>
  <c r="AL47" i="2"/>
  <c r="BP47" i="2"/>
  <c r="W47" i="2"/>
  <c r="BD32" i="2"/>
  <c r="K33" i="2"/>
  <c r="Z32" i="2"/>
  <c r="BS32" i="2"/>
  <c r="AO32" i="2"/>
  <c r="F73" i="2"/>
  <c r="AJ72" i="2"/>
  <c r="U72" i="2"/>
  <c r="BN72" i="2"/>
  <c r="AY72" i="2"/>
  <c r="AK72" i="2"/>
  <c r="BO72" i="2"/>
  <c r="BG17" i="2"/>
  <c r="AR17" i="2"/>
  <c r="N18" i="2"/>
  <c r="AE17" i="2"/>
  <c r="BV17" i="2"/>
  <c r="AC17" i="2"/>
  <c r="AT17" i="2"/>
  <c r="AS17" i="2"/>
  <c r="AD17" i="2"/>
  <c r="BW17" i="2"/>
  <c r="BI17" i="2"/>
  <c r="BH17" i="2"/>
  <c r="BX17" i="2"/>
  <c r="BI42" i="2"/>
  <c r="BX42" i="2"/>
  <c r="P43" i="2"/>
  <c r="AT42" i="2"/>
  <c r="AE42" i="2"/>
  <c r="U18" i="2"/>
  <c r="AY18" i="2"/>
  <c r="BN18" i="2"/>
  <c r="AJ18" i="2"/>
  <c r="BX13" i="2"/>
  <c r="BI13" i="2"/>
  <c r="AE13" i="2"/>
  <c r="AT13" i="2"/>
  <c r="AL18" i="2"/>
  <c r="W18" i="2"/>
  <c r="BQ18" i="2"/>
  <c r="BB18" i="2"/>
  <c r="X18" i="2"/>
  <c r="AM18" i="2"/>
  <c r="AA28" i="2"/>
  <c r="AP28" i="2"/>
  <c r="BT28" i="2"/>
  <c r="I43" i="2"/>
  <c r="BQ42" i="2"/>
  <c r="BB42" i="2"/>
  <c r="AM42" i="2"/>
  <c r="X42" i="2"/>
  <c r="AH73" i="2"/>
  <c r="S73" i="2"/>
  <c r="BL73" i="2"/>
  <c r="AW73" i="2"/>
  <c r="BO28" i="2"/>
  <c r="AZ28" i="2"/>
  <c r="AK28" i="2"/>
  <c r="V28" i="2"/>
  <c r="AF13" i="2"/>
  <c r="Q13" i="2"/>
  <c r="BJ13" i="2"/>
  <c r="AU13" i="2"/>
  <c r="BD27" i="2"/>
  <c r="K28" i="2"/>
  <c r="AO27" i="2"/>
  <c r="BS27" i="2"/>
  <c r="Z27" i="2"/>
  <c r="E43" i="2"/>
  <c r="AI42" i="2"/>
  <c r="T42" i="2"/>
  <c r="BM42" i="2"/>
  <c r="AX42" i="2"/>
  <c r="AK42" i="2"/>
  <c r="V42" i="2"/>
  <c r="BO42" i="2"/>
  <c r="AZ42" i="2"/>
  <c r="AJ37" i="2"/>
  <c r="F38" i="2"/>
  <c r="U37" i="2"/>
  <c r="BN37" i="2"/>
  <c r="AY37" i="2"/>
  <c r="V63" i="2"/>
  <c r="BO63" i="2"/>
  <c r="AK63" i="2"/>
  <c r="AZ63" i="2"/>
  <c r="AW62" i="2"/>
  <c r="S62" i="2"/>
  <c r="AH62" i="2"/>
  <c r="D63" i="2"/>
  <c r="BL62" i="2"/>
  <c r="N53" i="2"/>
  <c r="BG52" i="2"/>
  <c r="AC52" i="2"/>
  <c r="AR52" i="2"/>
  <c r="BV52" i="2"/>
  <c r="BH52" i="2"/>
  <c r="AS52" i="2"/>
  <c r="AD52" i="2"/>
  <c r="BW52" i="2"/>
  <c r="E18" i="2"/>
  <c r="AX17" i="2"/>
  <c r="BM17" i="2"/>
  <c r="T17" i="2"/>
  <c r="AI17" i="2"/>
  <c r="AP27" i="2"/>
  <c r="AQ47" i="2"/>
  <c r="M48" i="2"/>
  <c r="BF47" i="2"/>
  <c r="AB47" i="2"/>
  <c r="BU47" i="2"/>
  <c r="AW57" i="2"/>
  <c r="D58" i="2"/>
  <c r="BL57" i="2"/>
  <c r="S57" i="2"/>
  <c r="AH57" i="2"/>
  <c r="R27" i="2"/>
  <c r="AG27" i="2"/>
  <c r="AV27" i="2"/>
  <c r="C28" i="2"/>
  <c r="BK27" i="2"/>
  <c r="V13" i="2"/>
  <c r="AK13" i="2"/>
  <c r="BO13" i="2"/>
  <c r="H58" i="2"/>
  <c r="BP57" i="2"/>
  <c r="AM57" i="2"/>
  <c r="AL57" i="2"/>
  <c r="BA57" i="2"/>
  <c r="W57" i="2"/>
  <c r="X57" i="2"/>
  <c r="BB57" i="2"/>
  <c r="BQ57" i="2"/>
  <c r="Z12" i="2"/>
  <c r="BD12" i="2"/>
  <c r="AO12" i="2"/>
  <c r="BS12" i="2"/>
  <c r="K13" i="2"/>
  <c r="T7" i="2"/>
  <c r="BM7" i="2"/>
  <c r="AI7" i="2"/>
  <c r="AX7" i="2"/>
  <c r="E8" i="2"/>
  <c r="BM48" i="2"/>
  <c r="AX48" i="2"/>
  <c r="AI48" i="2"/>
  <c r="T48" i="2"/>
  <c r="BD23" i="2"/>
  <c r="AO23" i="2"/>
  <c r="Z23" i="2"/>
  <c r="BH28" i="2"/>
  <c r="AS28" i="2"/>
  <c r="BW28" i="2"/>
  <c r="AD28" i="2"/>
  <c r="X17" i="2"/>
  <c r="BE22" i="2"/>
  <c r="AW7" i="2"/>
  <c r="R7" i="2"/>
  <c r="BL7" i="2"/>
  <c r="AH7" i="2"/>
  <c r="D8" i="2"/>
  <c r="AV7" i="2"/>
  <c r="S7" i="2"/>
  <c r="Q7" i="2"/>
  <c r="AU7" i="2"/>
  <c r="BJ7" i="2"/>
  <c r="AF7" i="2"/>
  <c r="BK7" i="2"/>
  <c r="AG7" i="2"/>
  <c r="BC57" i="2"/>
  <c r="AN57" i="2"/>
  <c r="BR57" i="2"/>
  <c r="J58" i="2"/>
  <c r="Y57" i="2"/>
  <c r="BT68" i="2"/>
  <c r="AA68" i="2"/>
  <c r="AP68" i="2"/>
  <c r="BE68" i="2"/>
  <c r="B33" i="2"/>
  <c r="BJ32" i="2"/>
  <c r="AU32" i="2"/>
  <c r="AF32" i="2"/>
  <c r="Q32" i="2"/>
  <c r="BL32" i="2"/>
  <c r="AW32" i="2"/>
  <c r="AH32" i="2"/>
  <c r="S32" i="2"/>
  <c r="AS77" i="2"/>
  <c r="BH77" i="2"/>
  <c r="O78" i="2"/>
  <c r="BW77" i="2"/>
  <c r="AD77" i="2"/>
  <c r="AW22" i="2"/>
  <c r="S22" i="2"/>
  <c r="AH22" i="2"/>
  <c r="D23" i="2"/>
  <c r="BL22" i="2"/>
  <c r="AR62" i="2"/>
  <c r="BG77" i="2"/>
  <c r="BO22" i="2"/>
  <c r="G23" i="2"/>
  <c r="AK22" i="2"/>
  <c r="AZ22" i="2"/>
  <c r="V22" i="2"/>
  <c r="AA52" i="2"/>
  <c r="L53" i="2"/>
  <c r="BE52" i="2"/>
  <c r="AP52" i="2"/>
  <c r="BT52" i="2"/>
  <c r="AY68" i="2"/>
  <c r="BN68" i="2"/>
  <c r="AL7" i="2"/>
  <c r="H8" i="2"/>
  <c r="BA7" i="2"/>
  <c r="W7" i="2"/>
  <c r="BP7" i="2"/>
  <c r="BW47" i="2"/>
  <c r="O48" i="2"/>
  <c r="AD47" i="2"/>
  <c r="BH47" i="2"/>
  <c r="AS47" i="2"/>
  <c r="AQ38" i="2"/>
  <c r="BF38" i="2"/>
  <c r="AB38" i="2"/>
  <c r="BU38" i="2"/>
  <c r="BF58" i="2"/>
  <c r="BU58" i="2"/>
  <c r="AQ58" i="2"/>
  <c r="AB58" i="2"/>
  <c r="Z58" i="2"/>
  <c r="BD58" i="2"/>
  <c r="BS58" i="2"/>
  <c r="AO58" i="2"/>
  <c r="Y63" i="2"/>
  <c r="BR63" i="2"/>
  <c r="AN63" i="2"/>
  <c r="BC63" i="2"/>
  <c r="R57" i="2"/>
  <c r="X7" i="2"/>
  <c r="Q77" i="2"/>
  <c r="B78" i="2"/>
  <c r="AU77" i="2"/>
  <c r="BJ77" i="2"/>
  <c r="AF77" i="2"/>
  <c r="AS62" i="2"/>
  <c r="BR7" i="2"/>
  <c r="S27" i="2"/>
  <c r="AC77" i="2"/>
  <c r="BU32" i="2"/>
  <c r="BF32" i="2"/>
  <c r="AQ32" i="2"/>
  <c r="AB32" i="2"/>
  <c r="M33" i="2"/>
  <c r="AD57" i="2"/>
  <c r="O58" i="2"/>
  <c r="AS57" i="2"/>
  <c r="BG57" i="2"/>
  <c r="AR57" i="2"/>
  <c r="BW57" i="2"/>
  <c r="BH57" i="2"/>
  <c r="AC57" i="2"/>
  <c r="BV57" i="2"/>
  <c r="F58" i="2"/>
  <c r="AY57" i="2"/>
  <c r="BN57" i="2"/>
  <c r="AJ57" i="2"/>
  <c r="U57" i="2"/>
  <c r="BO57" i="2"/>
  <c r="AZ57" i="2"/>
  <c r="BU43" i="2"/>
  <c r="AB43" i="2"/>
  <c r="BF43" i="2"/>
  <c r="AQ43" i="2"/>
  <c r="AR68" i="2"/>
  <c r="J78" i="2"/>
  <c r="AN77" i="2"/>
  <c r="Y77" i="2"/>
  <c r="BR77" i="2"/>
  <c r="BC77" i="2"/>
  <c r="AW52" i="2"/>
  <c r="S52" i="2"/>
  <c r="AH52" i="2"/>
  <c r="BL52" i="2"/>
  <c r="D53" i="2"/>
  <c r="C63" i="2"/>
  <c r="BK62" i="2"/>
  <c r="R62" i="2"/>
  <c r="Q62" i="2"/>
  <c r="AG62" i="2"/>
  <c r="BJ62" i="2"/>
  <c r="AF62" i="2"/>
  <c r="AV62" i="2"/>
  <c r="AU62" i="2"/>
  <c r="AP23" i="2"/>
  <c r="AA23" i="2"/>
  <c r="W27" i="2"/>
  <c r="BW38" i="2"/>
  <c r="BH38" i="2"/>
  <c r="AS38" i="2"/>
  <c r="AD38" i="2"/>
  <c r="AY22" i="2"/>
  <c r="BN22" i="2"/>
  <c r="U22" i="2"/>
  <c r="AJ22" i="2"/>
  <c r="F23" i="2"/>
  <c r="T67" i="2"/>
  <c r="E68" i="2"/>
  <c r="AJ68" i="2" s="1"/>
  <c r="AX67" i="2"/>
  <c r="AI67" i="2"/>
  <c r="BM67" i="2"/>
  <c r="AK57" i="2"/>
  <c r="K43" i="2"/>
  <c r="BS42" i="2"/>
  <c r="BD42" i="2"/>
  <c r="AO42" i="2"/>
  <c r="Z42" i="2"/>
  <c r="AA42" i="2"/>
  <c r="BE42" i="2"/>
  <c r="AP42" i="2"/>
  <c r="BT42" i="2"/>
  <c r="X67" i="2"/>
  <c r="AV57" i="2"/>
  <c r="BP52" i="2"/>
  <c r="H53" i="2"/>
  <c r="W52" i="2"/>
  <c r="AL52" i="2"/>
  <c r="BA52" i="2"/>
  <c r="BQ52" i="2"/>
  <c r="BB52" i="2"/>
  <c r="AM52" i="2"/>
  <c r="BC52" i="2"/>
  <c r="X52" i="2"/>
  <c r="BR52" i="2"/>
  <c r="AN52" i="2"/>
  <c r="Y52" i="2"/>
  <c r="P53" i="2"/>
  <c r="AT52" i="2"/>
  <c r="AE52" i="2"/>
  <c r="BX52" i="2"/>
  <c r="BI52" i="2"/>
  <c r="BB7" i="2"/>
  <c r="AP7" i="2"/>
  <c r="AA7" i="2"/>
  <c r="L8" i="2"/>
  <c r="BE7" i="2"/>
  <c r="BT7" i="2"/>
  <c r="BQ23" i="2"/>
  <c r="BB23" i="2"/>
  <c r="AM23" i="2"/>
  <c r="X23" i="2"/>
  <c r="BV62" i="2"/>
  <c r="BK73" i="2"/>
  <c r="AQ7" i="2"/>
  <c r="AH27" i="2"/>
  <c r="AO68" i="2"/>
  <c r="W33" i="2"/>
  <c r="AL33" i="2"/>
  <c r="BA33" i="2"/>
  <c r="BP33" i="2"/>
  <c r="BG13" i="2"/>
  <c r="BV13" i="2"/>
  <c r="AC13" i="2"/>
  <c r="AR13" i="2"/>
  <c r="AB42" i="2"/>
  <c r="BC23" i="2"/>
  <c r="AL27" i="2"/>
  <c r="AK67" i="2"/>
  <c r="X12" i="2"/>
  <c r="AM12" i="2"/>
  <c r="I13" i="2"/>
  <c r="BQ12" i="2"/>
  <c r="BB12" i="2"/>
  <c r="T57" i="2"/>
  <c r="Q52" i="2"/>
  <c r="V72" i="2"/>
  <c r="BK57" i="2"/>
  <c r="BK77" i="2"/>
  <c r="BQ8" i="2"/>
  <c r="AM8" i="2"/>
  <c r="AU43" i="2"/>
  <c r="AF43" i="2"/>
  <c r="BJ43" i="2"/>
  <c r="Q43" i="2"/>
  <c r="AE47" i="2"/>
  <c r="AC62" i="2"/>
  <c r="BE77" i="2"/>
  <c r="AA77" i="2"/>
  <c r="AP77" i="2"/>
  <c r="L78" i="2"/>
  <c r="BT77" i="2"/>
  <c r="AO77" i="2"/>
  <c r="BD77" i="2"/>
  <c r="Z77" i="2"/>
  <c r="BS77" i="2"/>
  <c r="R73" i="2"/>
  <c r="AW27" i="2"/>
  <c r="BD68" i="2"/>
  <c r="AH67" i="2"/>
  <c r="S67" i="2"/>
  <c r="BL67" i="2"/>
  <c r="D68" i="2"/>
  <c r="AW67" i="2"/>
  <c r="BT38" i="2"/>
  <c r="BE38" i="2"/>
  <c r="AP38" i="2"/>
  <c r="AA38" i="2"/>
  <c r="AQ42" i="2"/>
  <c r="AW13" i="2"/>
  <c r="BL13" i="2"/>
  <c r="S13" i="2"/>
  <c r="AH13" i="2"/>
  <c r="Y23" i="2"/>
  <c r="BA27" i="2"/>
  <c r="AE57" i="2"/>
  <c r="P58" i="2"/>
  <c r="BI57" i="2"/>
  <c r="AT57" i="2"/>
  <c r="BX57" i="2"/>
  <c r="U13" i="2"/>
  <c r="AJ13" i="2"/>
  <c r="AY13" i="2"/>
  <c r="BN13" i="2"/>
  <c r="V68" i="2"/>
  <c r="AK68" i="2"/>
  <c r="AZ68" i="2"/>
  <c r="BB63" i="2"/>
  <c r="AN27" i="2"/>
  <c r="AX58" i="2"/>
  <c r="AI58" i="2"/>
  <c r="T58" i="2"/>
  <c r="BJ52" i="2"/>
  <c r="BI23" i="2"/>
  <c r="AE23" i="2"/>
  <c r="BX23" i="2"/>
  <c r="AT23" i="2"/>
  <c r="AL77" i="2"/>
  <c r="BP77" i="2"/>
  <c r="H78" i="2"/>
  <c r="BA77" i="2"/>
  <c r="W77" i="2"/>
  <c r="AJ48" i="2"/>
  <c r="BN48" i="2"/>
  <c r="U48" i="2"/>
  <c r="AY48" i="2"/>
  <c r="BA72" i="2"/>
  <c r="AL72" i="2"/>
  <c r="W72" i="2"/>
  <c r="H73" i="2"/>
  <c r="BP72" i="2"/>
  <c r="P68" i="2"/>
  <c r="BX67" i="2"/>
  <c r="BI67" i="2"/>
  <c r="AT67" i="2"/>
  <c r="AE67" i="2"/>
  <c r="AI72" i="2"/>
  <c r="AV77" i="2"/>
  <c r="X38" i="2"/>
  <c r="BQ38" i="2"/>
  <c r="AM38" i="2"/>
  <c r="BB38" i="2"/>
  <c r="AL38" i="2"/>
  <c r="BA38" i="2"/>
  <c r="BP38" i="2"/>
  <c r="W38" i="2"/>
  <c r="BG62" i="2"/>
  <c r="AG73" i="2"/>
  <c r="Z68" i="2"/>
  <c r="AC42" i="2"/>
  <c r="BF42" i="2"/>
  <c r="AR67" i="2"/>
  <c r="E13" i="2"/>
  <c r="T12" i="2"/>
  <c r="AX12" i="2"/>
  <c r="AI12" i="2"/>
  <c r="BM12" i="2"/>
  <c r="BT32" i="2"/>
  <c r="BE32" i="2"/>
  <c r="AA32" i="2"/>
  <c r="AP32" i="2"/>
  <c r="L33" i="2"/>
  <c r="BF72" i="2"/>
  <c r="AB72" i="2"/>
  <c r="BU72" i="2"/>
  <c r="AQ72" i="2"/>
  <c r="M73" i="2"/>
  <c r="BP27" i="2"/>
  <c r="BA63" i="2"/>
  <c r="BN12" i="2"/>
  <c r="AM63" i="2"/>
  <c r="AN28" i="2"/>
  <c r="Y28" i="2"/>
  <c r="BR28" i="2"/>
  <c r="AX57" i="2"/>
  <c r="AU52" i="2"/>
  <c r="AL42" i="2"/>
  <c r="W42" i="2"/>
  <c r="BA42" i="2"/>
  <c r="H43" i="2"/>
  <c r="BP42" i="2"/>
  <c r="AK78" i="2"/>
  <c r="BF7" i="2"/>
  <c r="S78" i="2"/>
  <c r="BL78" i="2"/>
  <c r="AW78" i="2"/>
  <c r="AH78" i="2"/>
  <c r="AX27" i="2"/>
  <c r="T27" i="2"/>
  <c r="E28" i="2"/>
  <c r="BM27" i="2"/>
  <c r="AI27" i="2"/>
  <c r="AC72" i="2"/>
  <c r="AR72" i="2"/>
  <c r="BV72" i="2"/>
  <c r="N73" i="2"/>
  <c r="BG72" i="2"/>
  <c r="BX72" i="2"/>
  <c r="AE72" i="2"/>
  <c r="AT72" i="2"/>
  <c r="BI72" i="2"/>
  <c r="BJ73" i="2"/>
  <c r="O33" i="2"/>
  <c r="BW32" i="2"/>
  <c r="BH32" i="2"/>
  <c r="AS32" i="2"/>
  <c r="AD32" i="2"/>
  <c r="BV32" i="2"/>
  <c r="AC32" i="2"/>
  <c r="BG32" i="2"/>
  <c r="AR32" i="2"/>
  <c r="W12" i="2"/>
  <c r="BA12" i="2"/>
  <c r="AL12" i="2"/>
  <c r="H13" i="2"/>
  <c r="BP12" i="2"/>
  <c r="BF68" i="2"/>
  <c r="AB68" i="2"/>
  <c r="AQ68" i="2"/>
  <c r="BU68" i="2"/>
  <c r="BG23" i="2"/>
  <c r="AC23" i="2"/>
  <c r="AR23" i="2"/>
  <c r="BV23" i="2"/>
  <c r="AT47" i="2"/>
  <c r="Y67" i="2"/>
  <c r="AN67" i="2"/>
  <c r="BC67" i="2"/>
  <c r="J68" i="2"/>
  <c r="BR67" i="2"/>
  <c r="BV42" i="2"/>
  <c r="U27" i="2"/>
  <c r="AL63" i="2"/>
  <c r="BD72" i="2"/>
  <c r="K73" i="2"/>
  <c r="Z72" i="2"/>
  <c r="BS72" i="2"/>
  <c r="AO72" i="2"/>
  <c r="BM72" i="2"/>
  <c r="BL43" i="2"/>
  <c r="AG77" i="2"/>
  <c r="BP23" i="2"/>
  <c r="BX48" i="2"/>
  <c r="BI48" i="2"/>
  <c r="AM72" i="2"/>
  <c r="I73" i="2"/>
  <c r="BB72" i="2"/>
  <c r="X72" i="2"/>
  <c r="BQ72" i="2"/>
  <c r="H68" i="2"/>
  <c r="AL67" i="2"/>
  <c r="W67" i="2"/>
  <c r="BA67" i="2"/>
  <c r="BP67" i="2"/>
  <c r="AO8" i="2"/>
  <c r="BS8" i="2"/>
  <c r="AP47" i="2"/>
  <c r="L48" i="2"/>
  <c r="BT47" i="2"/>
  <c r="BE47" i="2"/>
  <c r="AA47" i="2"/>
  <c r="BK13" i="2"/>
  <c r="AJ27" i="2"/>
  <c r="AT32" i="2"/>
  <c r="BE72" i="2"/>
  <c r="AA72" i="2"/>
  <c r="L73" i="2"/>
  <c r="AP72" i="2"/>
  <c r="BT72" i="2"/>
  <c r="BB33" i="2"/>
  <c r="AY17" i="2"/>
  <c r="W63" i="2"/>
  <c r="X63" i="2"/>
  <c r="BR27" i="2"/>
  <c r="F43" i="2"/>
  <c r="AJ42" i="2"/>
  <c r="U42" i="2"/>
  <c r="AY42" i="2"/>
  <c r="BN42" i="2"/>
  <c r="V32" i="2"/>
  <c r="AK32" i="2"/>
  <c r="G33" i="2"/>
  <c r="BO32" i="2"/>
  <c r="AZ32" i="2"/>
  <c r="BX38" i="2"/>
  <c r="BI38" i="2"/>
  <c r="AT38" i="2"/>
  <c r="AE38" i="2"/>
  <c r="C18" i="2"/>
  <c r="BK17" i="2"/>
  <c r="R17" i="2"/>
  <c r="AV17" i="2"/>
  <c r="AG17" i="2"/>
  <c r="AH17" i="2"/>
  <c r="S17" i="2"/>
  <c r="AU17" i="2"/>
  <c r="BL17" i="2"/>
  <c r="AW17" i="2"/>
  <c r="BJ17" i="2"/>
  <c r="AF17" i="2"/>
  <c r="Q17" i="2"/>
  <c r="AB52" i="2"/>
  <c r="M53" i="2"/>
  <c r="AQ52" i="2"/>
  <c r="BF52" i="2"/>
  <c r="BU52" i="2"/>
  <c r="BV78" i="2"/>
  <c r="AR78" i="2"/>
  <c r="BG78" i="2"/>
  <c r="AC78" i="2"/>
  <c r="AQ77" i="2"/>
  <c r="BF77" i="2"/>
  <c r="BU77" i="2"/>
  <c r="M78" i="2"/>
  <c r="AB77" i="2"/>
  <c r="BX62" i="2"/>
  <c r="BI62" i="2"/>
  <c r="P63" i="2"/>
  <c r="AT62" i="2"/>
  <c r="AE62" i="2"/>
  <c r="Q57" i="2"/>
  <c r="AU57" i="2"/>
  <c r="AF57" i="2"/>
  <c r="B58" i="2"/>
  <c r="BJ57" i="2"/>
  <c r="BG63" i="2"/>
  <c r="AR63" i="2"/>
  <c r="BV63" i="2"/>
  <c r="AC63" i="2"/>
  <c r="BW63" i="2"/>
  <c r="AS63" i="2"/>
  <c r="AD63" i="2"/>
  <c r="BH63" i="2"/>
  <c r="AN8" i="2"/>
  <c r="BR8" i="2"/>
  <c r="BC8" i="2"/>
  <c r="Y8" i="2"/>
  <c r="AJ32" i="2"/>
  <c r="F33" i="2"/>
  <c r="U32" i="2"/>
  <c r="BN32" i="2"/>
  <c r="AY32" i="2"/>
  <c r="AZ72" i="2"/>
  <c r="BX77" i="2"/>
  <c r="AT77" i="2"/>
  <c r="BI77" i="2"/>
  <c r="P78" i="2"/>
  <c r="AE77" i="2"/>
  <c r="AV73" i="2"/>
  <c r="AX32" i="2"/>
  <c r="E33" i="2"/>
  <c r="BM32" i="2"/>
  <c r="AI32" i="2"/>
  <c r="T32" i="2"/>
  <c r="BV38" i="2"/>
  <c r="BG38" i="2"/>
  <c r="AR38" i="2"/>
  <c r="AC38" i="2"/>
  <c r="BI28" i="2"/>
  <c r="BX28" i="2"/>
  <c r="AT28" i="2"/>
  <c r="AE28" i="2"/>
  <c r="Z62" i="2"/>
  <c r="K63" i="2"/>
  <c r="BD62" i="2"/>
  <c r="AO62" i="2"/>
  <c r="BS62" i="2"/>
  <c r="BM57" i="2"/>
  <c r="X77" i="2"/>
  <c r="I78" i="2"/>
  <c r="AM77" i="2"/>
  <c r="BB77" i="2"/>
  <c r="BQ77" i="2"/>
  <c r="U52" i="2"/>
  <c r="AJ52" i="2"/>
  <c r="AY52" i="2"/>
  <c r="F53" i="2"/>
  <c r="AX53" i="2" s="1"/>
  <c r="BN52" i="2"/>
  <c r="AZ52" i="2"/>
  <c r="BO52" i="2"/>
  <c r="AX72" i="2"/>
  <c r="S43" i="2"/>
  <c r="R77" i="2"/>
  <c r="BA23" i="2"/>
  <c r="BH23" i="2"/>
  <c r="BW23" i="2"/>
  <c r="AD23" i="2"/>
  <c r="AS23" i="2"/>
  <c r="BI47" i="2"/>
  <c r="BK43" i="2"/>
  <c r="BS7" i="2"/>
  <c r="AF27" i="2"/>
  <c r="AU27" i="2"/>
  <c r="Q27" i="2"/>
  <c r="B28" i="2"/>
  <c r="BL28" i="2" s="1"/>
  <c r="BJ27" i="2"/>
  <c r="BG42" i="2"/>
  <c r="BF62" i="2"/>
  <c r="BU62" i="2"/>
  <c r="AQ62" i="2"/>
  <c r="AB62" i="2"/>
  <c r="M63" i="2"/>
  <c r="AG22" i="2"/>
  <c r="R22" i="2"/>
  <c r="C23" i="2"/>
  <c r="BK22" i="2"/>
  <c r="AV22" i="2"/>
  <c r="AV13" i="2"/>
  <c r="G8" i="2"/>
  <c r="BO7" i="2"/>
  <c r="AZ7" i="2"/>
  <c r="AK7" i="2"/>
  <c r="V7" i="2"/>
  <c r="AY27" i="2"/>
  <c r="AG52" i="2"/>
  <c r="BM78" i="2"/>
  <c r="AI78" i="2"/>
  <c r="T78" i="2"/>
  <c r="AX78" i="2"/>
  <c r="BQ33" i="2"/>
  <c r="U17" i="2"/>
  <c r="AN38" i="2"/>
  <c r="BR38" i="2"/>
  <c r="Y38" i="2"/>
  <c r="BC38" i="2"/>
  <c r="BE58" i="2"/>
  <c r="BT58" i="2"/>
  <c r="AA58" i="2"/>
  <c r="AP58" i="2"/>
  <c r="G38" i="2"/>
  <c r="AZ37" i="2"/>
  <c r="BO37" i="2"/>
  <c r="AK37" i="2"/>
  <c r="V37" i="2"/>
  <c r="BP63" i="2"/>
  <c r="AB27" i="2"/>
  <c r="BS52" i="2"/>
  <c r="Z52" i="2"/>
  <c r="K53" i="2"/>
  <c r="BD52" i="2"/>
  <c r="AO52" i="2"/>
  <c r="L63" i="2"/>
  <c r="BE62" i="2"/>
  <c r="BT62" i="2"/>
  <c r="AA62" i="2"/>
  <c r="AP62" i="2"/>
  <c r="T22" i="2"/>
  <c r="BM22" i="2"/>
  <c r="AI22" i="2"/>
  <c r="AX22" i="2"/>
  <c r="E23" i="2"/>
  <c r="AC28" i="2"/>
  <c r="AZ78" i="2"/>
  <c r="J43" i="2"/>
  <c r="BR42" i="2"/>
  <c r="BC42" i="2"/>
  <c r="AN42" i="2"/>
  <c r="Y42" i="2"/>
  <c r="BO27" i="2"/>
  <c r="AQ28" i="2"/>
  <c r="BU28" i="2"/>
  <c r="BF28" i="2"/>
  <c r="K48" i="2"/>
  <c r="AO47" i="2"/>
  <c r="BD47" i="2"/>
  <c r="Z47" i="2"/>
  <c r="BS47" i="2"/>
  <c r="BB27" i="2"/>
  <c r="BQ27" i="2"/>
  <c r="X27" i="2"/>
  <c r="I28" i="2"/>
  <c r="AM27" i="2"/>
  <c r="AI37" i="2"/>
  <c r="E38" i="2"/>
  <c r="T37" i="2"/>
  <c r="BM37" i="2"/>
  <c r="AX37" i="2"/>
  <c r="BR17" i="2"/>
  <c r="Y17" i="2"/>
  <c r="J18" i="2"/>
  <c r="AN17" i="2"/>
  <c r="BC17" i="2"/>
  <c r="AM17" i="2"/>
  <c r="BQ17" i="2"/>
  <c r="BB17" i="2"/>
  <c r="M23" i="2"/>
  <c r="BU22" i="2"/>
  <c r="BF22" i="2"/>
  <c r="AQ22" i="2"/>
  <c r="AB22" i="2"/>
  <c r="BJ22" i="2"/>
  <c r="Q22" i="2"/>
  <c r="B23" i="2"/>
  <c r="AU22" i="2"/>
  <c r="AF22" i="2"/>
  <c r="R78" i="2"/>
  <c r="BK78" i="2"/>
  <c r="BS68" i="2"/>
  <c r="U62" i="2"/>
  <c r="AJ62" i="2"/>
  <c r="AY62" i="2"/>
  <c r="BN62" i="2"/>
  <c r="F63" i="2"/>
  <c r="T62" i="2"/>
  <c r="AX62" i="2"/>
  <c r="AI62" i="2"/>
  <c r="BM62" i="2"/>
  <c r="AN33" i="2"/>
  <c r="BR33" i="2"/>
  <c r="Y33" i="2"/>
  <c r="BC33" i="2"/>
  <c r="Y12" i="2"/>
  <c r="AN12" i="2"/>
  <c r="BR12" i="2"/>
  <c r="J13" i="2"/>
  <c r="BC12" i="2"/>
  <c r="BQ63" i="2"/>
  <c r="Y27" i="2"/>
  <c r="AF52" i="2"/>
  <c r="BW13" i="2"/>
  <c r="AD13" i="2"/>
  <c r="BH13" i="2"/>
  <c r="AS13" i="2"/>
  <c r="T73" i="2"/>
  <c r="BM73" i="2"/>
  <c r="AW43" i="2"/>
  <c r="C33" i="2"/>
  <c r="BK32" i="2"/>
  <c r="AV32" i="2"/>
  <c r="AG32" i="2"/>
  <c r="R32" i="2"/>
  <c r="BR47" i="2"/>
  <c r="J48" i="2"/>
  <c r="Y47" i="2"/>
  <c r="BC47" i="2"/>
  <c r="AN47" i="2"/>
  <c r="AL23" i="2"/>
  <c r="R43" i="2"/>
  <c r="AO38" i="2"/>
  <c r="BS38" i="2"/>
  <c r="BD38" i="2"/>
  <c r="Z38" i="2"/>
  <c r="BL77" i="2"/>
  <c r="Z7" i="2"/>
  <c r="V27" i="2"/>
  <c r="M13" i="2"/>
  <c r="AQ12" i="2"/>
  <c r="BF12" i="2"/>
  <c r="BU12" i="2"/>
  <c r="AB12" i="2"/>
  <c r="AR42" i="2"/>
  <c r="R13" i="2"/>
  <c r="Q73" i="2"/>
  <c r="BN27" i="2"/>
  <c r="BI32" i="2"/>
  <c r="N48" i="2"/>
  <c r="AR47" i="2"/>
  <c r="BV47" i="2"/>
  <c r="AC47" i="2"/>
  <c r="BG47" i="2"/>
  <c r="AM33" i="2"/>
  <c r="AJ17" i="2"/>
  <c r="Y72" i="2"/>
  <c r="J73" i="2"/>
  <c r="BC72" i="2"/>
  <c r="BR72" i="2"/>
  <c r="AN72" i="2"/>
  <c r="AL17" i="2"/>
  <c r="AK17" i="2"/>
  <c r="BF27" i="2"/>
  <c r="AA27" i="2"/>
  <c r="AK48" i="2"/>
  <c r="V48" i="2"/>
  <c r="AZ48" i="2"/>
  <c r="BO48" i="2"/>
  <c r="U7" i="2"/>
  <c r="BN7" i="2"/>
  <c r="AJ7" i="2"/>
  <c r="F8" i="2"/>
  <c r="AY7" i="2"/>
  <c r="BV28" i="2"/>
  <c r="BC13" i="2" l="1"/>
  <c r="AN13" i="2"/>
  <c r="BR13" i="2"/>
  <c r="Y13" i="2"/>
  <c r="AS33" i="2"/>
  <c r="AD33" i="2"/>
  <c r="BH33" i="2"/>
  <c r="BW33" i="2"/>
  <c r="BG33" i="2"/>
  <c r="AR33" i="2"/>
  <c r="AC33" i="2"/>
  <c r="BV33" i="2"/>
  <c r="AP33" i="2"/>
  <c r="BT33" i="2"/>
  <c r="BE33" i="2"/>
  <c r="AA33" i="2"/>
  <c r="Q63" i="2"/>
  <c r="AV63" i="2"/>
  <c r="AU63" i="2"/>
  <c r="BJ63" i="2"/>
  <c r="AG63" i="2"/>
  <c r="BK63" i="2"/>
  <c r="AF63" i="2"/>
  <c r="R63" i="2"/>
  <c r="AI38" i="2"/>
  <c r="BM38" i="2"/>
  <c r="T38" i="2"/>
  <c r="AX38" i="2"/>
  <c r="AK8" i="2"/>
  <c r="V8" i="2"/>
  <c r="AZ8" i="2"/>
  <c r="BO8" i="2"/>
  <c r="AL78" i="2"/>
  <c r="W78" i="2"/>
  <c r="BP78" i="2"/>
  <c r="BA78" i="2"/>
  <c r="AH53" i="2"/>
  <c r="AW53" i="2"/>
  <c r="S53" i="2"/>
  <c r="BL53" i="2"/>
  <c r="AN58" i="2"/>
  <c r="BC58" i="2"/>
  <c r="BR58" i="2"/>
  <c r="Y58" i="2"/>
  <c r="U73" i="2"/>
  <c r="AJ73" i="2"/>
  <c r="BN73" i="2"/>
  <c r="AY73" i="2"/>
  <c r="AZ73" i="2"/>
  <c r="V73" i="2"/>
  <c r="AK73" i="2"/>
  <c r="AJ81" i="2" s="1"/>
  <c r="AD43" i="2"/>
  <c r="BH43" i="2"/>
  <c r="BW43" i="2"/>
  <c r="AS43" i="2"/>
  <c r="BF78" i="2"/>
  <c r="BU78" i="2"/>
  <c r="AB78" i="2"/>
  <c r="AQ78" i="2"/>
  <c r="Y68" i="2"/>
  <c r="BR68" i="2"/>
  <c r="AN68" i="2"/>
  <c r="BC68" i="2"/>
  <c r="AL13" i="2"/>
  <c r="BA13" i="2"/>
  <c r="BP13" i="2"/>
  <c r="W13" i="2"/>
  <c r="BI53" i="2"/>
  <c r="BX53" i="2"/>
  <c r="AT53" i="2"/>
  <c r="AE53" i="2"/>
  <c r="AH23" i="2"/>
  <c r="AW23" i="2"/>
  <c r="BL23" i="2"/>
  <c r="S23" i="2"/>
  <c r="AB48" i="2"/>
  <c r="AQ48" i="2"/>
  <c r="BF48" i="2"/>
  <c r="BU48" i="2"/>
  <c r="BR48" i="2"/>
  <c r="Y48" i="2"/>
  <c r="BC48" i="2"/>
  <c r="AN48" i="2"/>
  <c r="BU23" i="2"/>
  <c r="BF23" i="2"/>
  <c r="AQ23" i="2"/>
  <c r="AB23" i="2"/>
  <c r="BM33" i="2"/>
  <c r="AX33" i="2"/>
  <c r="AI33" i="2"/>
  <c r="T33" i="2"/>
  <c r="BV43" i="2"/>
  <c r="AT68" i="2"/>
  <c r="BX68" i="2"/>
  <c r="BI68" i="2"/>
  <c r="AE68" i="2"/>
  <c r="BE23" i="2"/>
  <c r="AR48" i="2"/>
  <c r="BG48" i="2"/>
  <c r="BV48" i="2"/>
  <c r="AC48" i="2"/>
  <c r="BF13" i="2"/>
  <c r="BU13" i="2"/>
  <c r="AQ13" i="2"/>
  <c r="AB13" i="2"/>
  <c r="BQ28" i="2"/>
  <c r="X28" i="2"/>
  <c r="BB28" i="2"/>
  <c r="AM28" i="2"/>
  <c r="BO38" i="2"/>
  <c r="V38" i="2"/>
  <c r="AZ38" i="2"/>
  <c r="AK38" i="2"/>
  <c r="Z63" i="2"/>
  <c r="BS63" i="2"/>
  <c r="AO63" i="2"/>
  <c r="BD63" i="2"/>
  <c r="AR43" i="2"/>
  <c r="BC28" i="2"/>
  <c r="BT23" i="2"/>
  <c r="AG53" i="2"/>
  <c r="BO73" i="2"/>
  <c r="R23" i="2"/>
  <c r="AG23" i="2"/>
  <c r="BK23" i="2"/>
  <c r="AV23" i="2"/>
  <c r="BN33" i="2"/>
  <c r="U33" i="2"/>
  <c r="AJ33" i="2"/>
  <c r="AY33" i="2"/>
  <c r="BG43" i="2"/>
  <c r="V53" i="2"/>
  <c r="AY23" i="2"/>
  <c r="BN23" i="2"/>
  <c r="AJ23" i="2"/>
  <c r="U23" i="2"/>
  <c r="AU78" i="2"/>
  <c r="AF78" i="2"/>
  <c r="Q78" i="2"/>
  <c r="R81" i="2" s="1"/>
  <c r="BJ78" i="2"/>
  <c r="BT53" i="2"/>
  <c r="AP53" i="2"/>
  <c r="BE53" i="2"/>
  <c r="AA53" i="2"/>
  <c r="AO33" i="2"/>
  <c r="BS33" i="2"/>
  <c r="BD33" i="2"/>
  <c r="Z33" i="2"/>
  <c r="AV53" i="2"/>
  <c r="AA63" i="2"/>
  <c r="AP63" i="2"/>
  <c r="BT63" i="2"/>
  <c r="BE63" i="2"/>
  <c r="AT33" i="2"/>
  <c r="AH28" i="2"/>
  <c r="Q58" i="2"/>
  <c r="AF58" i="2"/>
  <c r="AU58" i="2"/>
  <c r="BJ58" i="2"/>
  <c r="AC43" i="2"/>
  <c r="BA68" i="2"/>
  <c r="BP68" i="2"/>
  <c r="AL68" i="2"/>
  <c r="W68" i="2"/>
  <c r="AS68" i="2"/>
  <c r="R53" i="2"/>
  <c r="AG78" i="2"/>
  <c r="BI33" i="2"/>
  <c r="AW28" i="2"/>
  <c r="BU33" i="2"/>
  <c r="AQ33" i="2"/>
  <c r="AB33" i="2"/>
  <c r="BF33" i="2"/>
  <c r="BW68" i="2"/>
  <c r="AT43" i="2"/>
  <c r="BI43" i="2"/>
  <c r="BX43" i="2"/>
  <c r="AE43" i="2"/>
  <c r="W28" i="2"/>
  <c r="AN18" i="2"/>
  <c r="BC18" i="2"/>
  <c r="Y18" i="2"/>
  <c r="BR18" i="2"/>
  <c r="BD53" i="2"/>
  <c r="Z53" i="2"/>
  <c r="BS53" i="2"/>
  <c r="AO53" i="2"/>
  <c r="AE33" i="2"/>
  <c r="Q53" i="2"/>
  <c r="BA43" i="2"/>
  <c r="BP43" i="2"/>
  <c r="W43" i="2"/>
  <c r="AL43" i="2"/>
  <c r="AQ73" i="2"/>
  <c r="AB73" i="2"/>
  <c r="BF73" i="2"/>
  <c r="BU73" i="2"/>
  <c r="T53" i="2"/>
  <c r="BQ13" i="2"/>
  <c r="AM13" i="2"/>
  <c r="BB13" i="2"/>
  <c r="X13" i="2"/>
  <c r="X68" i="2"/>
  <c r="AV58" i="2"/>
  <c r="Q33" i="2"/>
  <c r="BJ33" i="2"/>
  <c r="AF33" i="2"/>
  <c r="AU33" i="2"/>
  <c r="AW33" i="2"/>
  <c r="BL33" i="2"/>
  <c r="AH33" i="2"/>
  <c r="S33" i="2"/>
  <c r="AD68" i="2"/>
  <c r="AI18" i="2"/>
  <c r="T18" i="2"/>
  <c r="BM18" i="2"/>
  <c r="AX18" i="2"/>
  <c r="BP18" i="2"/>
  <c r="BK33" i="2"/>
  <c r="AV33" i="2"/>
  <c r="AG33" i="2"/>
  <c r="R33" i="2"/>
  <c r="AL28" i="2"/>
  <c r="BJ23" i="2"/>
  <c r="AF23" i="2"/>
  <c r="AU23" i="2"/>
  <c r="Q23" i="2"/>
  <c r="AU53" i="2"/>
  <c r="AP48" i="2"/>
  <c r="AA48" i="2"/>
  <c r="BT48" i="2"/>
  <c r="BE48" i="2"/>
  <c r="BB73" i="2"/>
  <c r="BQ73" i="2"/>
  <c r="X73" i="2"/>
  <c r="AM73" i="2"/>
  <c r="BS73" i="2"/>
  <c r="Z73" i="2"/>
  <c r="AO73" i="2"/>
  <c r="BD73" i="2"/>
  <c r="BM13" i="2"/>
  <c r="AI13" i="2"/>
  <c r="T13" i="2"/>
  <c r="AX13" i="2"/>
  <c r="Y78" i="2"/>
  <c r="AN78" i="2"/>
  <c r="BC78" i="2"/>
  <c r="BR78" i="2"/>
  <c r="BQ81" i="2" s="1"/>
  <c r="W8" i="2"/>
  <c r="BP8" i="2"/>
  <c r="BA8" i="2"/>
  <c r="AL8" i="2"/>
  <c r="AK23" i="2"/>
  <c r="V23" i="2"/>
  <c r="BO23" i="2"/>
  <c r="AZ23" i="2"/>
  <c r="V18" i="2"/>
  <c r="BA18" i="2"/>
  <c r="AF53" i="2"/>
  <c r="AC68" i="2"/>
  <c r="AY58" i="2"/>
  <c r="BN58" i="2"/>
  <c r="AJ58" i="2"/>
  <c r="U58" i="2"/>
  <c r="V58" i="2"/>
  <c r="AK58" i="2"/>
  <c r="AZ58" i="2"/>
  <c r="BO58" i="2"/>
  <c r="BQ68" i="2"/>
  <c r="BL58" i="2"/>
  <c r="AW58" i="2"/>
  <c r="AV81" i="2" s="1"/>
  <c r="AH58" i="2"/>
  <c r="S58" i="2"/>
  <c r="AK18" i="2"/>
  <c r="BL63" i="2"/>
  <c r="AW63" i="2"/>
  <c r="S63" i="2"/>
  <c r="AH63" i="2"/>
  <c r="AH48" i="2"/>
  <c r="BL48" i="2"/>
  <c r="S48" i="2"/>
  <c r="AW48" i="2"/>
  <c r="BJ48" i="2"/>
  <c r="AU48" i="2"/>
  <c r="BK48" i="2"/>
  <c r="R48" i="2"/>
  <c r="AV48" i="2"/>
  <c r="AF48" i="2"/>
  <c r="AG48" i="2"/>
  <c r="Q48" i="2"/>
  <c r="R68" i="2"/>
  <c r="AG68" i="2"/>
  <c r="Q68" i="2"/>
  <c r="AV68" i="2"/>
  <c r="AU68" i="2"/>
  <c r="BJ68" i="2"/>
  <c r="AF68" i="2"/>
  <c r="BK68" i="2"/>
  <c r="AS73" i="2"/>
  <c r="BH73" i="2"/>
  <c r="BW73" i="2"/>
  <c r="AD73" i="2"/>
  <c r="AP78" i="2"/>
  <c r="BE78" i="2"/>
  <c r="BT78" i="2"/>
  <c r="BT81" i="2" s="1"/>
  <c r="AA78" i="2"/>
  <c r="Z78" i="2"/>
  <c r="AO78" i="2"/>
  <c r="BD78" i="2"/>
  <c r="BS78" i="2"/>
  <c r="BO68" i="2"/>
  <c r="BH48" i="2"/>
  <c r="BW48" i="2"/>
  <c r="AS48" i="2"/>
  <c r="AD48" i="2"/>
  <c r="AJ53" i="2"/>
  <c r="BN53" i="2"/>
  <c r="AY53" i="2"/>
  <c r="U53" i="2"/>
  <c r="BO53" i="2"/>
  <c r="AK53" i="2"/>
  <c r="AL73" i="2"/>
  <c r="BA73" i="2"/>
  <c r="BP73" i="2"/>
  <c r="W73" i="2"/>
  <c r="AD58" i="2"/>
  <c r="BH58" i="2"/>
  <c r="BW58" i="2"/>
  <c r="AS58" i="2"/>
  <c r="AC58" i="2"/>
  <c r="AR58" i="2"/>
  <c r="BV58" i="2"/>
  <c r="BG58" i="2"/>
  <c r="AY8" i="2"/>
  <c r="BN8" i="2"/>
  <c r="U8" i="2"/>
  <c r="AJ8" i="2"/>
  <c r="BK58" i="2"/>
  <c r="BK53" i="2"/>
  <c r="Y43" i="2"/>
  <c r="BR43" i="2"/>
  <c r="BC43" i="2"/>
  <c r="AN43" i="2"/>
  <c r="BU63" i="2"/>
  <c r="AB63" i="2"/>
  <c r="AQ63" i="2"/>
  <c r="BF63" i="2"/>
  <c r="AA8" i="2"/>
  <c r="BE8" i="2"/>
  <c r="BT8" i="2"/>
  <c r="AP8" i="2"/>
  <c r="AB8" i="2"/>
  <c r="BF8" i="2"/>
  <c r="BU8" i="2"/>
  <c r="AQ8" i="2"/>
  <c r="BH68" i="2"/>
  <c r="U38" i="2"/>
  <c r="BN38" i="2"/>
  <c r="AJ38" i="2"/>
  <c r="AY38" i="2"/>
  <c r="BB68" i="2"/>
  <c r="BA28" i="2"/>
  <c r="BI78" i="2"/>
  <c r="BH81" i="2" s="1"/>
  <c r="AT78" i="2"/>
  <c r="AE78" i="2"/>
  <c r="BX78" i="2"/>
  <c r="BE73" i="2"/>
  <c r="AP73" i="2"/>
  <c r="AA73" i="2"/>
  <c r="BT73" i="2"/>
  <c r="AI53" i="2"/>
  <c r="AI73" i="2"/>
  <c r="BP28" i="2"/>
  <c r="AJ63" i="2"/>
  <c r="BN63" i="2"/>
  <c r="AY63" i="2"/>
  <c r="U63" i="2"/>
  <c r="T63" i="2"/>
  <c r="AX63" i="2"/>
  <c r="AI63" i="2"/>
  <c r="BM63" i="2"/>
  <c r="BD48" i="2"/>
  <c r="Z48" i="2"/>
  <c r="AO48" i="2"/>
  <c r="BS48" i="2"/>
  <c r="X78" i="2"/>
  <c r="AM78" i="2"/>
  <c r="BQ78" i="2"/>
  <c r="BB78" i="2"/>
  <c r="AE63" i="2"/>
  <c r="BI63" i="2"/>
  <c r="BX63" i="2"/>
  <c r="AT63" i="2"/>
  <c r="BJ53" i="2"/>
  <c r="Z8" i="2"/>
  <c r="AE48" i="2"/>
  <c r="BM58" i="2"/>
  <c r="BX58" i="2"/>
  <c r="BI58" i="2"/>
  <c r="AE58" i="2"/>
  <c r="AT58" i="2"/>
  <c r="X8" i="2"/>
  <c r="BS43" i="2"/>
  <c r="BD43" i="2"/>
  <c r="AO43" i="2"/>
  <c r="Z43" i="2"/>
  <c r="BT43" i="2"/>
  <c r="BE43" i="2"/>
  <c r="AP43" i="2"/>
  <c r="AA43" i="2"/>
  <c r="BG68" i="2"/>
  <c r="AM68" i="2"/>
  <c r="BW78" i="2"/>
  <c r="AS78" i="2"/>
  <c r="AD78" i="2"/>
  <c r="BH78" i="2"/>
  <c r="AL58" i="2"/>
  <c r="BA58" i="2"/>
  <c r="W58" i="2"/>
  <c r="BP58" i="2"/>
  <c r="BQ58" i="2"/>
  <c r="BB58" i="2"/>
  <c r="X58" i="2"/>
  <c r="AM58" i="2"/>
  <c r="BO18" i="2"/>
  <c r="AM43" i="2"/>
  <c r="X43" i="2"/>
  <c r="BQ43" i="2"/>
  <c r="BB43" i="2"/>
  <c r="BP53" i="2"/>
  <c r="AL53" i="2"/>
  <c r="W53" i="2"/>
  <c r="BA53" i="2"/>
  <c r="AN53" i="2"/>
  <c r="BR53" i="2"/>
  <c r="Y53" i="2"/>
  <c r="BC53" i="2"/>
  <c r="X53" i="2"/>
  <c r="AM53" i="2"/>
  <c r="BB53" i="2"/>
  <c r="BQ53" i="2"/>
  <c r="BJ28" i="2"/>
  <c r="Q28" i="2"/>
  <c r="AU28" i="2"/>
  <c r="AF28" i="2"/>
  <c r="BN43" i="2"/>
  <c r="AY43" i="2"/>
  <c r="U43" i="2"/>
  <c r="AJ43" i="2"/>
  <c r="AI68" i="2"/>
  <c r="AX68" i="2"/>
  <c r="BM68" i="2"/>
  <c r="T68" i="2"/>
  <c r="BS23" i="2"/>
  <c r="S68" i="2"/>
  <c r="AH68" i="2"/>
  <c r="AW68" i="2"/>
  <c r="BL68" i="2"/>
  <c r="BK28" i="2"/>
  <c r="R28" i="2"/>
  <c r="AV28" i="2"/>
  <c r="AG28" i="2"/>
  <c r="BM43" i="2"/>
  <c r="AX43" i="2"/>
  <c r="T43" i="2"/>
  <c r="AI43" i="2"/>
  <c r="AZ43" i="2"/>
  <c r="AK43" i="2"/>
  <c r="V43" i="2"/>
  <c r="BO43" i="2"/>
  <c r="AA13" i="2"/>
  <c r="BE13" i="2"/>
  <c r="BT13" i="2"/>
  <c r="AP13" i="2"/>
  <c r="S28" i="2"/>
  <c r="AV78" i="2"/>
  <c r="BO33" i="2"/>
  <c r="V33" i="2"/>
  <c r="AK33" i="2"/>
  <c r="AZ33" i="2"/>
  <c r="AG58" i="2"/>
  <c r="BG18" i="2"/>
  <c r="AC18" i="2"/>
  <c r="BV18" i="2"/>
  <c r="AR18" i="2"/>
  <c r="AE18" i="2"/>
  <c r="AT18" i="2"/>
  <c r="BX18" i="2"/>
  <c r="BI18" i="2"/>
  <c r="BW18" i="2"/>
  <c r="AS18" i="2"/>
  <c r="AD18" i="2"/>
  <c r="BH18" i="2"/>
  <c r="AC73" i="2"/>
  <c r="AR73" i="2"/>
  <c r="BG73" i="2"/>
  <c r="BV73" i="2"/>
  <c r="AE73" i="2"/>
  <c r="BI73" i="2"/>
  <c r="BX73" i="2"/>
  <c r="AT73" i="2"/>
  <c r="AZ53" i="2"/>
  <c r="BR73" i="2"/>
  <c r="Y73" i="2"/>
  <c r="BC73" i="2"/>
  <c r="AN73" i="2"/>
  <c r="BX33" i="2"/>
  <c r="BM53" i="2"/>
  <c r="R58" i="2"/>
  <c r="BM8" i="2"/>
  <c r="AI8" i="2"/>
  <c r="AX8" i="2"/>
  <c r="T8" i="2"/>
  <c r="AR53" i="2"/>
  <c r="BV53" i="2"/>
  <c r="BG53" i="2"/>
  <c r="AC53" i="2"/>
  <c r="AD53" i="2"/>
  <c r="AS53" i="2"/>
  <c r="BH53" i="2"/>
  <c r="BW53" i="2"/>
  <c r="AO28" i="2"/>
  <c r="BS28" i="2"/>
  <c r="BD28" i="2"/>
  <c r="Z28" i="2"/>
  <c r="BM23" i="2"/>
  <c r="AI23" i="2"/>
  <c r="AX23" i="2"/>
  <c r="T23" i="2"/>
  <c r="AX73" i="2"/>
  <c r="AB28" i="2"/>
  <c r="BF53" i="2"/>
  <c r="AB53" i="2"/>
  <c r="AQ53" i="2"/>
  <c r="BU53" i="2"/>
  <c r="BK18" i="2"/>
  <c r="AV18" i="2"/>
  <c r="AG18" i="2"/>
  <c r="R18" i="2"/>
  <c r="AU18" i="2"/>
  <c r="Q18" i="2"/>
  <c r="AF18" i="2"/>
  <c r="BJ18" i="2"/>
  <c r="AW18" i="2"/>
  <c r="AH18" i="2"/>
  <c r="S18" i="2"/>
  <c r="BL18" i="2"/>
  <c r="BD8" i="2"/>
  <c r="AT48" i="2"/>
  <c r="T28" i="2"/>
  <c r="AX28" i="2"/>
  <c r="AI28" i="2"/>
  <c r="BM28" i="2"/>
  <c r="BB8" i="2"/>
  <c r="BV68" i="2"/>
  <c r="U68" i="2"/>
  <c r="S8" i="2"/>
  <c r="AH8" i="2"/>
  <c r="AW8" i="2"/>
  <c r="BL8" i="2"/>
  <c r="BK8" i="2"/>
  <c r="AG8" i="2"/>
  <c r="AV8" i="2"/>
  <c r="Q8" i="2"/>
  <c r="AF8" i="2"/>
  <c r="AU8" i="2"/>
  <c r="BJ8" i="2"/>
  <c r="R8" i="2"/>
  <c r="AO13" i="2"/>
  <c r="BS13" i="2"/>
  <c r="BD13" i="2"/>
  <c r="Z13" i="2"/>
  <c r="AZ13" i="2"/>
  <c r="AZ18" i="2"/>
  <c r="BE28" i="2"/>
  <c r="AM48" i="2"/>
  <c r="BB48" i="2"/>
  <c r="BQ48" i="2"/>
  <c r="X48" i="2"/>
  <c r="W48" i="2"/>
  <c r="BP48" i="2"/>
  <c r="AL48" i="2"/>
  <c r="BA48" i="2"/>
  <c r="BU18" i="2"/>
  <c r="AB18" i="2"/>
  <c r="AQ18" i="2"/>
  <c r="BF18" i="2"/>
  <c r="BD18" i="2"/>
  <c r="BS18" i="2"/>
  <c r="AO18" i="2"/>
  <c r="AA18" i="2"/>
  <c r="AP18" i="2"/>
  <c r="Z18" i="2"/>
  <c r="BE18" i="2"/>
  <c r="BT18" i="2"/>
  <c r="F127" i="1"/>
  <c r="F126" i="1"/>
  <c r="F125" i="1"/>
  <c r="F109" i="1"/>
  <c r="F108" i="1"/>
  <c r="F107" i="1"/>
  <c r="F118" i="1"/>
  <c r="F117" i="1"/>
  <c r="F116" i="1"/>
  <c r="F100" i="1"/>
  <c r="F99" i="1"/>
  <c r="F98" i="1"/>
  <c r="F82" i="1"/>
  <c r="F81" i="1"/>
  <c r="F80" i="1"/>
  <c r="F79" i="1"/>
  <c r="F78" i="1"/>
  <c r="F77" i="1"/>
  <c r="F91" i="1"/>
  <c r="F90" i="1"/>
  <c r="F89" i="1"/>
  <c r="F70" i="1"/>
  <c r="F69" i="1"/>
  <c r="F68" i="1"/>
  <c r="F67" i="1"/>
  <c r="F66" i="1"/>
  <c r="F65" i="1"/>
  <c r="F43" i="1"/>
  <c r="F42" i="1"/>
  <c r="F41" i="1"/>
  <c r="F40" i="1"/>
  <c r="F39" i="1"/>
  <c r="F38" i="1"/>
  <c r="F46" i="1"/>
  <c r="F45" i="1"/>
  <c r="F44" i="1"/>
  <c r="AS81" i="2" l="1"/>
  <c r="AP81" i="2"/>
  <c r="AG81" i="2"/>
  <c r="BW81" i="2"/>
  <c r="BB81" i="2"/>
  <c r="BE81" i="2"/>
  <c r="X81" i="2"/>
  <c r="U81" i="2"/>
  <c r="AA81" i="2"/>
  <c r="AY81" i="2"/>
  <c r="AD81" i="2"/>
  <c r="AM81" i="2"/>
  <c r="BK81" i="2"/>
  <c r="BN81" i="2"/>
  <c r="F58" i="1"/>
  <c r="F57" i="1"/>
  <c r="F56" i="1"/>
  <c r="F55" i="1"/>
  <c r="F54" i="1"/>
  <c r="F53" i="1"/>
  <c r="F37" i="1"/>
  <c r="F36" i="1"/>
  <c r="F35" i="1"/>
  <c r="F34" i="1"/>
  <c r="F33" i="1"/>
  <c r="F32" i="1"/>
  <c r="F25" i="1"/>
  <c r="F23" i="1"/>
  <c r="F24" i="1"/>
  <c r="F22" i="1"/>
  <c r="F21" i="1"/>
  <c r="F20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<sst xmlns="http://schemas.openxmlformats.org/spreadsheetml/2006/main" count="459" uniqueCount="45">
  <si>
    <t>Planetary boundary (PB) indicator</t>
  </si>
  <si>
    <t>Type of effect on PB</t>
  </si>
  <si>
    <t>Unit</t>
  </si>
  <si>
    <t>Δ Footprint</t>
  </si>
  <si>
    <t>Scenario</t>
  </si>
  <si>
    <t>Fresh water use (Blue water consumption)</t>
  </si>
  <si>
    <t>Region</t>
  </si>
  <si>
    <t>Canada</t>
  </si>
  <si>
    <t>China</t>
  </si>
  <si>
    <t>Rest-of-the-World</t>
  </si>
  <si>
    <t>Probable case</t>
  </si>
  <si>
    <t>median</t>
  </si>
  <si>
    <t>Tg N/yr</t>
  </si>
  <si>
    <t>Tg P/yr</t>
  </si>
  <si>
    <t>Positive</t>
  </si>
  <si>
    <t>max</t>
  </si>
  <si>
    <t>min</t>
  </si>
  <si>
    <t>Negative</t>
  </si>
  <si>
    <t>Best case</t>
  </si>
  <si>
    <t>Worst case</t>
  </si>
  <si>
    <t>Uncertainty</t>
  </si>
  <si>
    <r>
      <t>Climate change (CO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 xml:space="preserve"> emissions)</t>
    </r>
  </si>
  <si>
    <r>
      <t>Gt CO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/yr</t>
    </r>
  </si>
  <si>
    <r>
      <t>km</t>
    </r>
    <r>
      <rPr>
        <vertAlign val="superscript"/>
        <sz val="12"/>
        <color theme="1"/>
        <rFont val="Aptos Narrow"/>
        <family val="2"/>
        <scheme val="minor"/>
      </rPr>
      <t>3</t>
    </r>
    <r>
      <rPr>
        <sz val="12"/>
        <color theme="1"/>
        <rFont val="Aptos Narrow"/>
        <family val="2"/>
        <scheme val="minor"/>
      </rPr>
      <t>/yr</t>
    </r>
  </si>
  <si>
    <r>
      <t>PLANETARY BOUNDARY LIMIT FOR CARBON EMISSION (GtCO</t>
    </r>
    <r>
      <rPr>
        <b/>
        <vertAlign val="subscript"/>
        <sz val="16"/>
        <color theme="1"/>
        <rFont val="Aptos Narrow"/>
        <family val="2"/>
        <scheme val="minor"/>
      </rPr>
      <t>2</t>
    </r>
    <r>
      <rPr>
        <b/>
        <sz val="16"/>
        <color theme="1"/>
        <rFont val="Aptos Narrow"/>
        <family val="2"/>
        <scheme val="minor"/>
      </rPr>
      <t>/yr)</t>
    </r>
  </si>
  <si>
    <t>PLANETARY BOUNDARY LIMIT FOR N FIXATION (Tg N/yr)</t>
  </si>
  <si>
    <t>PLANETARY BOUNDARY LIMIT FOR P FERTILISER USE (Tg P/yr)</t>
  </si>
  <si>
    <r>
      <t>PLANETARY BOUNDARY LIMIT FOR BLUE WATER CONSUMPTION (km</t>
    </r>
    <r>
      <rPr>
        <b/>
        <vertAlign val="superscript"/>
        <sz val="16"/>
        <color theme="1"/>
        <rFont val="Aptos Narrow"/>
        <family val="2"/>
        <scheme val="minor"/>
      </rPr>
      <t>3</t>
    </r>
    <r>
      <rPr>
        <b/>
        <sz val="16"/>
        <color theme="1"/>
        <rFont val="Aptos Narrow"/>
        <family val="2"/>
        <scheme val="minor"/>
      </rPr>
      <t>/yr)</t>
    </r>
  </si>
  <si>
    <t>SSP1 (Million persons)</t>
  </si>
  <si>
    <t>SSP2 (Million persons)</t>
  </si>
  <si>
    <t>SSP3 (Million persons)</t>
  </si>
  <si>
    <t>SSP4 (Million persons)</t>
  </si>
  <si>
    <t>SSP5 (Million persons)</t>
  </si>
  <si>
    <t>SSP1</t>
  </si>
  <si>
    <t>SSP2</t>
  </si>
  <si>
    <t>SSP3</t>
  </si>
  <si>
    <t>SSP4</t>
  </si>
  <si>
    <t>SSP5</t>
  </si>
  <si>
    <t>Year</t>
  </si>
  <si>
    <t>CAN</t>
  </si>
  <si>
    <t>CHN</t>
  </si>
  <si>
    <t>RoW</t>
  </si>
  <si>
    <t>IMAGE 3.2 POPULATION PROJECTION</t>
  </si>
  <si>
    <t>Biogeochemical flows (intentional N fixation)</t>
  </si>
  <si>
    <t>Biogeochemical flows (P fertiliser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</si>
</sst>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9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b/>
      <vertAlign val="subscript"/>
      <sz val="16"/>
      <color theme="1"/>
      <name val="Aptos Narrow"/>
      <family val="2"/>
      <scheme val="minor"/>
    </font>
    <font>
      <b/>
      <vertAlign val="superscript"/>
      <sz val="16"/>
      <color theme="1"/>
      <name val="Aptos Narrow"/>
      <family val="2"/>
      <scheme val="minor"/>
    </font>
    <font>
      <b/>
      <sz val="7"/>
      <color rgb="FF1F1F1F"/>
      <name val="Georgia"/>
      <family val="1"/>
    </font>
    <font>
      <sz val="7"/>
      <color rgb="FF1F1F1F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1" xfId="0" applyFont="1" applyBorder="1"/>
    <xf numFmtId="11" fontId="2" fillId="0" borderId="1" xfId="0" applyNumberFormat="1" applyFont="1" applyBorder="1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Border="1"/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 wrapText="1"/>
    </xf>
    <xf numFmtId="170" fontId="0" fillId="0" borderId="0" xfId="0" applyNumberFormat="1" applyBorder="1"/>
    <xf numFmtId="0" fontId="7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A98E-DA30-4D08-8DA0-9E7428CB81BA}">
  <dimension ref="A1:P128"/>
  <sheetViews>
    <sheetView tabSelected="1" zoomScale="87" workbookViewId="0">
      <selection activeCell="K15" sqref="K15"/>
    </sheetView>
  </sheetViews>
  <sheetFormatPr defaultRowHeight="14.5" x14ac:dyDescent="0.35"/>
  <cols>
    <col min="1" max="1" width="43.90625" customWidth="1"/>
    <col min="2" max="3" width="16" customWidth="1"/>
    <col min="4" max="4" width="26.36328125" customWidth="1"/>
    <col min="5" max="5" width="16.1796875" customWidth="1"/>
    <col min="6" max="6" width="15.36328125" customWidth="1"/>
    <col min="7" max="7" width="9.7265625" customWidth="1"/>
  </cols>
  <sheetData>
    <row r="1" spans="1:16" ht="21" x14ac:dyDescent="0.5">
      <c r="A1" s="2" t="s">
        <v>0</v>
      </c>
      <c r="B1" s="2" t="s">
        <v>6</v>
      </c>
      <c r="C1" s="2" t="s">
        <v>4</v>
      </c>
      <c r="D1" s="2" t="s">
        <v>1</v>
      </c>
      <c r="E1" s="2" t="s">
        <v>20</v>
      </c>
      <c r="F1" s="2" t="s">
        <v>3</v>
      </c>
      <c r="G1" s="2" t="s">
        <v>2</v>
      </c>
      <c r="J1" s="14"/>
      <c r="K1" s="14"/>
      <c r="L1" s="14"/>
      <c r="M1" s="14"/>
      <c r="N1" s="14"/>
      <c r="O1" s="14"/>
      <c r="P1" s="14"/>
    </row>
    <row r="2" spans="1:16" ht="17" x14ac:dyDescent="0.45">
      <c r="A2" s="7" t="s">
        <v>21</v>
      </c>
      <c r="B2" s="6" t="s">
        <v>7</v>
      </c>
      <c r="C2" s="6" t="s">
        <v>18</v>
      </c>
      <c r="D2" s="6" t="s">
        <v>14</v>
      </c>
      <c r="E2" s="3" t="s">
        <v>16</v>
      </c>
      <c r="F2" s="4">
        <v>-1.9900000000000001E-4</v>
      </c>
      <c r="G2" s="3" t="s">
        <v>22</v>
      </c>
      <c r="J2" s="15"/>
      <c r="K2" s="15"/>
      <c r="L2" s="18"/>
      <c r="M2" s="18"/>
      <c r="N2" s="14"/>
      <c r="O2" s="14"/>
      <c r="P2" s="14"/>
    </row>
    <row r="3" spans="1:16" ht="17" x14ac:dyDescent="0.45">
      <c r="A3" s="7"/>
      <c r="B3" s="6"/>
      <c r="C3" s="6"/>
      <c r="D3" s="6"/>
      <c r="E3" s="3" t="s">
        <v>11</v>
      </c>
      <c r="F3" s="4">
        <v>-1.66E-4</v>
      </c>
      <c r="G3" s="3" t="s">
        <v>22</v>
      </c>
      <c r="J3" s="16"/>
      <c r="K3" s="16"/>
      <c r="L3" s="15"/>
      <c r="M3" s="15"/>
      <c r="N3" s="14"/>
      <c r="O3" s="14"/>
      <c r="P3" s="14"/>
    </row>
    <row r="4" spans="1:16" ht="17" x14ac:dyDescent="0.45">
      <c r="A4" s="7"/>
      <c r="B4" s="6"/>
      <c r="C4" s="6"/>
      <c r="D4" s="6"/>
      <c r="E4" s="3" t="s">
        <v>15</v>
      </c>
      <c r="F4" s="4">
        <v>-1.27E-4</v>
      </c>
      <c r="G4" s="3" t="s">
        <v>22</v>
      </c>
      <c r="J4" s="16"/>
      <c r="K4" s="16"/>
      <c r="L4" s="16"/>
      <c r="M4" s="16"/>
      <c r="N4" s="17"/>
      <c r="O4" s="14"/>
      <c r="P4" s="14"/>
    </row>
    <row r="5" spans="1:16" ht="17" x14ac:dyDescent="0.45">
      <c r="A5" s="7"/>
      <c r="B5" s="6" t="s">
        <v>8</v>
      </c>
      <c r="C5" s="6"/>
      <c r="D5" s="6" t="s">
        <v>14</v>
      </c>
      <c r="E5" s="3" t="s">
        <v>16</v>
      </c>
      <c r="F5" s="4">
        <v>-1.22E-4</v>
      </c>
      <c r="G5" s="3" t="s">
        <v>22</v>
      </c>
      <c r="J5" s="16"/>
      <c r="K5" s="16"/>
      <c r="L5" s="16"/>
      <c r="M5" s="16"/>
      <c r="N5" s="17"/>
      <c r="O5" s="14"/>
      <c r="P5" s="14"/>
    </row>
    <row r="6" spans="1:16" ht="17" x14ac:dyDescent="0.45">
      <c r="A6" s="7"/>
      <c r="B6" s="6"/>
      <c r="C6" s="6"/>
      <c r="D6" s="6"/>
      <c r="E6" s="3" t="s">
        <v>11</v>
      </c>
      <c r="F6" s="4">
        <v>-7.2200000000000007E-5</v>
      </c>
      <c r="G6" s="3" t="s">
        <v>22</v>
      </c>
      <c r="J6" s="16"/>
      <c r="K6" s="16"/>
      <c r="L6" s="16"/>
      <c r="M6" s="16"/>
      <c r="N6" s="17"/>
      <c r="O6" s="14"/>
      <c r="P6" s="14"/>
    </row>
    <row r="7" spans="1:16" ht="17" x14ac:dyDescent="0.45">
      <c r="A7" s="7"/>
      <c r="B7" s="6"/>
      <c r="C7" s="6"/>
      <c r="D7" s="6"/>
      <c r="E7" s="3" t="s">
        <v>15</v>
      </c>
      <c r="F7" s="4">
        <v>-4.2700000000000001E-5</v>
      </c>
      <c r="G7" s="3" t="s">
        <v>22</v>
      </c>
      <c r="J7" s="16"/>
      <c r="K7" s="16"/>
      <c r="L7" s="16"/>
      <c r="M7" s="16"/>
      <c r="N7" s="17"/>
      <c r="O7" s="14"/>
      <c r="P7" s="14"/>
    </row>
    <row r="8" spans="1:16" ht="17" x14ac:dyDescent="0.45">
      <c r="A8" s="7"/>
      <c r="B8" s="6" t="s">
        <v>9</v>
      </c>
      <c r="C8" s="6"/>
      <c r="D8" s="6" t="s">
        <v>14</v>
      </c>
      <c r="E8" s="3" t="s">
        <v>16</v>
      </c>
      <c r="F8" s="4">
        <f>-0.0047*24</f>
        <v>-0.11280000000000001</v>
      </c>
      <c r="G8" s="3" t="s">
        <v>22</v>
      </c>
      <c r="J8" s="16"/>
      <c r="K8" s="16"/>
      <c r="L8" s="16"/>
      <c r="M8" s="16"/>
      <c r="N8" s="17"/>
      <c r="O8" s="14"/>
      <c r="P8" s="14"/>
    </row>
    <row r="9" spans="1:16" ht="17" x14ac:dyDescent="0.45">
      <c r="A9" s="7"/>
      <c r="B9" s="6"/>
      <c r="C9" s="6"/>
      <c r="D9" s="6"/>
      <c r="E9" s="3" t="s">
        <v>11</v>
      </c>
      <c r="F9" s="4">
        <f>-0.00142*24</f>
        <v>-3.4079999999999999E-2</v>
      </c>
      <c r="G9" s="3" t="s">
        <v>22</v>
      </c>
      <c r="J9" s="14"/>
      <c r="K9" s="14"/>
      <c r="L9" s="14"/>
      <c r="M9" s="14"/>
      <c r="N9" s="14"/>
      <c r="O9" s="14"/>
      <c r="P9" s="14"/>
    </row>
    <row r="10" spans="1:16" ht="17" x14ac:dyDescent="0.45">
      <c r="A10" s="7"/>
      <c r="B10" s="6"/>
      <c r="C10" s="6"/>
      <c r="D10" s="6"/>
      <c r="E10" s="3" t="s">
        <v>15</v>
      </c>
      <c r="F10" s="4">
        <f>-0.000114*24</f>
        <v>-2.7360000000000002E-3</v>
      </c>
      <c r="G10" s="3" t="s">
        <v>22</v>
      </c>
      <c r="J10" s="14"/>
      <c r="K10" s="14"/>
      <c r="L10" s="14"/>
      <c r="M10" s="14"/>
      <c r="N10" s="14"/>
      <c r="O10" s="17"/>
      <c r="P10" s="14"/>
    </row>
    <row r="11" spans="1:16" ht="17" x14ac:dyDescent="0.45">
      <c r="A11" s="7"/>
      <c r="B11" s="6"/>
      <c r="C11" s="6"/>
      <c r="D11" s="6" t="s">
        <v>17</v>
      </c>
      <c r="E11" s="3" t="s">
        <v>16</v>
      </c>
      <c r="F11" s="4">
        <f>0.000397*24</f>
        <v>9.528E-3</v>
      </c>
      <c r="G11" s="3" t="s">
        <v>22</v>
      </c>
      <c r="J11" s="14"/>
      <c r="K11" s="14"/>
      <c r="L11" s="14"/>
      <c r="M11" s="14"/>
      <c r="N11" s="14"/>
      <c r="O11" s="17"/>
      <c r="P11" s="14"/>
    </row>
    <row r="12" spans="1:16" ht="17" x14ac:dyDescent="0.45">
      <c r="A12" s="7"/>
      <c r="B12" s="6"/>
      <c r="C12" s="6"/>
      <c r="D12" s="6"/>
      <c r="E12" s="3" t="s">
        <v>11</v>
      </c>
      <c r="F12" s="4">
        <f>0.000613*24</f>
        <v>1.4712000000000001E-2</v>
      </c>
      <c r="G12" s="3" t="s">
        <v>22</v>
      </c>
      <c r="J12" s="14"/>
      <c r="K12" s="14"/>
      <c r="L12" s="14"/>
      <c r="M12" s="14"/>
      <c r="N12" s="14"/>
      <c r="O12" s="14"/>
      <c r="P12" s="14"/>
    </row>
    <row r="13" spans="1:16" ht="17" x14ac:dyDescent="0.45">
      <c r="A13" s="7"/>
      <c r="B13" s="6"/>
      <c r="C13" s="6"/>
      <c r="D13" s="6"/>
      <c r="E13" s="3" t="s">
        <v>15</v>
      </c>
      <c r="F13" s="4">
        <f>0.000706*24</f>
        <v>1.6944000000000001E-2</v>
      </c>
      <c r="G13" s="3" t="s">
        <v>22</v>
      </c>
    </row>
    <row r="14" spans="1:16" ht="17" x14ac:dyDescent="0.45">
      <c r="A14" s="7"/>
      <c r="B14" s="6" t="s">
        <v>7</v>
      </c>
      <c r="C14" s="6" t="s">
        <v>10</v>
      </c>
      <c r="D14" s="6" t="s">
        <v>14</v>
      </c>
      <c r="E14" s="3" t="s">
        <v>16</v>
      </c>
      <c r="F14" s="4">
        <v>-1.8000000000000001E-4</v>
      </c>
      <c r="G14" s="3" t="s">
        <v>22</v>
      </c>
    </row>
    <row r="15" spans="1:16" ht="17" x14ac:dyDescent="0.45">
      <c r="A15" s="7"/>
      <c r="B15" s="6"/>
      <c r="C15" s="6"/>
      <c r="D15" s="6"/>
      <c r="E15" s="3" t="s">
        <v>11</v>
      </c>
      <c r="F15" s="4">
        <v>-1.4999999999999999E-4</v>
      </c>
      <c r="G15" s="3" t="s">
        <v>22</v>
      </c>
    </row>
    <row r="16" spans="1:16" ht="17" x14ac:dyDescent="0.45">
      <c r="A16" s="7"/>
      <c r="B16" s="6"/>
      <c r="C16" s="6"/>
      <c r="D16" s="6"/>
      <c r="E16" s="3" t="s">
        <v>15</v>
      </c>
      <c r="F16" s="4">
        <v>-1.15E-4</v>
      </c>
      <c r="G16" s="3" t="s">
        <v>22</v>
      </c>
    </row>
    <row r="17" spans="1:7" ht="17" x14ac:dyDescent="0.45">
      <c r="A17" s="7"/>
      <c r="B17" s="6" t="s">
        <v>8</v>
      </c>
      <c r="C17" s="6"/>
      <c r="D17" s="6" t="s">
        <v>14</v>
      </c>
      <c r="E17" s="3" t="s">
        <v>16</v>
      </c>
      <c r="F17" s="4">
        <v>-1.07E-4</v>
      </c>
      <c r="G17" s="3" t="s">
        <v>22</v>
      </c>
    </row>
    <row r="18" spans="1:7" ht="17" x14ac:dyDescent="0.45">
      <c r="A18" s="7"/>
      <c r="B18" s="6"/>
      <c r="C18" s="6"/>
      <c r="D18" s="6"/>
      <c r="E18" s="3" t="s">
        <v>11</v>
      </c>
      <c r="F18" s="4">
        <v>-6.1099999999999994E-5</v>
      </c>
      <c r="G18" s="3" t="s">
        <v>22</v>
      </c>
    </row>
    <row r="19" spans="1:7" ht="17" x14ac:dyDescent="0.45">
      <c r="A19" s="7"/>
      <c r="B19" s="6"/>
      <c r="C19" s="6"/>
      <c r="D19" s="6"/>
      <c r="E19" s="3" t="s">
        <v>15</v>
      </c>
      <c r="F19" s="4">
        <v>-3.7499999999999997E-5</v>
      </c>
      <c r="G19" s="3" t="s">
        <v>22</v>
      </c>
    </row>
    <row r="20" spans="1:7" ht="17" x14ac:dyDescent="0.45">
      <c r="A20" s="7"/>
      <c r="B20" s="6" t="s">
        <v>9</v>
      </c>
      <c r="C20" s="6"/>
      <c r="D20" s="6" t="s">
        <v>14</v>
      </c>
      <c r="E20" s="3" t="s">
        <v>16</v>
      </c>
      <c r="F20" s="4">
        <f>-0.00439*24</f>
        <v>-0.10536</v>
      </c>
      <c r="G20" s="3" t="s">
        <v>22</v>
      </c>
    </row>
    <row r="21" spans="1:7" ht="17" x14ac:dyDescent="0.45">
      <c r="A21" s="7"/>
      <c r="B21" s="6"/>
      <c r="C21" s="6"/>
      <c r="D21" s="6"/>
      <c r="E21" s="3" t="s">
        <v>11</v>
      </c>
      <c r="F21" s="4">
        <f>-0.00381*24</f>
        <v>-9.1439999999999994E-2</v>
      </c>
      <c r="G21" s="3" t="s">
        <v>22</v>
      </c>
    </row>
    <row r="22" spans="1:7" ht="17" x14ac:dyDescent="0.45">
      <c r="A22" s="7"/>
      <c r="B22" s="6"/>
      <c r="C22" s="6"/>
      <c r="D22" s="6"/>
      <c r="E22" s="3" t="s">
        <v>15</v>
      </c>
      <c r="F22" s="4">
        <f>-0.00247*24</f>
        <v>-5.9279999999999999E-2</v>
      </c>
      <c r="G22" s="3" t="s">
        <v>22</v>
      </c>
    </row>
    <row r="23" spans="1:7" ht="17" x14ac:dyDescent="0.45">
      <c r="A23" s="7"/>
      <c r="B23" s="6"/>
      <c r="C23" s="6"/>
      <c r="D23" s="6" t="s">
        <v>17</v>
      </c>
      <c r="E23" s="3" t="s">
        <v>16</v>
      </c>
      <c r="F23" s="4">
        <f>0.0000591*24</f>
        <v>1.4184E-3</v>
      </c>
      <c r="G23" s="3" t="s">
        <v>22</v>
      </c>
    </row>
    <row r="24" spans="1:7" ht="17" x14ac:dyDescent="0.45">
      <c r="A24" s="7"/>
      <c r="B24" s="6"/>
      <c r="C24" s="6"/>
      <c r="D24" s="6"/>
      <c r="E24" s="3" t="s">
        <v>11</v>
      </c>
      <c r="F24" s="4">
        <f>0.000337*24</f>
        <v>8.0879999999999997E-3</v>
      </c>
      <c r="G24" s="3" t="s">
        <v>22</v>
      </c>
    </row>
    <row r="25" spans="1:7" ht="17" x14ac:dyDescent="0.45">
      <c r="A25" s="7"/>
      <c r="B25" s="6"/>
      <c r="C25" s="6"/>
      <c r="D25" s="6"/>
      <c r="E25" s="3" t="s">
        <v>15</v>
      </c>
      <c r="F25" s="4">
        <f>0.00101*24</f>
        <v>2.4240000000000001E-2</v>
      </c>
      <c r="G25" s="3" t="s">
        <v>22</v>
      </c>
    </row>
    <row r="26" spans="1:7" ht="17" x14ac:dyDescent="0.45">
      <c r="A26" s="7"/>
      <c r="B26" s="6" t="s">
        <v>7</v>
      </c>
      <c r="C26" s="6" t="s">
        <v>19</v>
      </c>
      <c r="D26" s="6" t="s">
        <v>14</v>
      </c>
      <c r="E26" s="3" t="s">
        <v>16</v>
      </c>
      <c r="F26" s="4">
        <v>-1.21E-4</v>
      </c>
      <c r="G26" s="3" t="s">
        <v>22</v>
      </c>
    </row>
    <row r="27" spans="1:7" ht="17" x14ac:dyDescent="0.45">
      <c r="A27" s="7"/>
      <c r="B27" s="6"/>
      <c r="C27" s="6"/>
      <c r="D27" s="6"/>
      <c r="E27" s="3" t="s">
        <v>11</v>
      </c>
      <c r="F27" s="4">
        <v>-1.02E-4</v>
      </c>
      <c r="G27" s="3" t="s">
        <v>22</v>
      </c>
    </row>
    <row r="28" spans="1:7" ht="17" x14ac:dyDescent="0.45">
      <c r="A28" s="7"/>
      <c r="B28" s="6"/>
      <c r="C28" s="6"/>
      <c r="D28" s="6"/>
      <c r="E28" s="3" t="s">
        <v>15</v>
      </c>
      <c r="F28" s="4">
        <v>-7.75E-5</v>
      </c>
      <c r="G28" s="3" t="s">
        <v>22</v>
      </c>
    </row>
    <row r="29" spans="1:7" ht="17" x14ac:dyDescent="0.45">
      <c r="A29" s="7"/>
      <c r="B29" s="6" t="s">
        <v>8</v>
      </c>
      <c r="C29" s="6"/>
      <c r="D29" s="6" t="s">
        <v>14</v>
      </c>
      <c r="E29" s="3" t="s">
        <v>16</v>
      </c>
      <c r="F29" s="4">
        <v>-1.07E-4</v>
      </c>
      <c r="G29" s="3" t="s">
        <v>22</v>
      </c>
    </row>
    <row r="30" spans="1:7" ht="17" x14ac:dyDescent="0.45">
      <c r="A30" s="7"/>
      <c r="B30" s="6"/>
      <c r="C30" s="6"/>
      <c r="D30" s="6"/>
      <c r="E30" s="3" t="s">
        <v>11</v>
      </c>
      <c r="F30" s="4">
        <v>-6.1099999999999994E-5</v>
      </c>
      <c r="G30" s="3" t="s">
        <v>22</v>
      </c>
    </row>
    <row r="31" spans="1:7" ht="17" x14ac:dyDescent="0.45">
      <c r="A31" s="7"/>
      <c r="B31" s="6"/>
      <c r="C31" s="6"/>
      <c r="D31" s="6"/>
      <c r="E31" s="3" t="s">
        <v>15</v>
      </c>
      <c r="F31" s="4">
        <v>-3.7499999999999997E-5</v>
      </c>
      <c r="G31" s="3" t="s">
        <v>22</v>
      </c>
    </row>
    <row r="32" spans="1:7" ht="17" x14ac:dyDescent="0.45">
      <c r="A32" s="7"/>
      <c r="B32" s="6" t="s">
        <v>9</v>
      </c>
      <c r="C32" s="6"/>
      <c r="D32" s="6" t="s">
        <v>14</v>
      </c>
      <c r="E32" s="3" t="s">
        <v>16</v>
      </c>
      <c r="F32" s="4">
        <f>-0.00398*24</f>
        <v>-9.5519999999999994E-2</v>
      </c>
      <c r="G32" s="3" t="s">
        <v>22</v>
      </c>
    </row>
    <row r="33" spans="1:7" ht="17" x14ac:dyDescent="0.45">
      <c r="A33" s="7"/>
      <c r="B33" s="6"/>
      <c r="C33" s="6"/>
      <c r="D33" s="6"/>
      <c r="E33" s="3" t="s">
        <v>11</v>
      </c>
      <c r="F33" s="4">
        <f>-0.00346*24</f>
        <v>-8.3040000000000003E-2</v>
      </c>
      <c r="G33" s="3" t="s">
        <v>22</v>
      </c>
    </row>
    <row r="34" spans="1:7" ht="17" x14ac:dyDescent="0.45">
      <c r="A34" s="7"/>
      <c r="B34" s="6"/>
      <c r="C34" s="6"/>
      <c r="D34" s="6"/>
      <c r="E34" s="3" t="s">
        <v>15</v>
      </c>
      <c r="F34" s="4">
        <f>-0.00224*24</f>
        <v>-5.3759999999999995E-2</v>
      </c>
      <c r="G34" s="3" t="s">
        <v>22</v>
      </c>
    </row>
    <row r="35" spans="1:7" ht="17" x14ac:dyDescent="0.45">
      <c r="A35" s="7"/>
      <c r="B35" s="6"/>
      <c r="C35" s="6"/>
      <c r="D35" s="6" t="s">
        <v>17</v>
      </c>
      <c r="E35" s="3" t="s">
        <v>16</v>
      </c>
      <c r="F35" s="4">
        <f>0.000289*24</f>
        <v>6.9359999999999995E-3</v>
      </c>
      <c r="G35" s="3" t="s">
        <v>22</v>
      </c>
    </row>
    <row r="36" spans="1:7" ht="17" x14ac:dyDescent="0.45">
      <c r="A36" s="7"/>
      <c r="B36" s="6"/>
      <c r="C36" s="6"/>
      <c r="D36" s="6"/>
      <c r="E36" s="3" t="s">
        <v>11</v>
      </c>
      <c r="F36" s="4">
        <f>0.000657*24</f>
        <v>1.5768000000000001E-2</v>
      </c>
      <c r="G36" s="3" t="s">
        <v>22</v>
      </c>
    </row>
    <row r="37" spans="1:7" ht="17" x14ac:dyDescent="0.45">
      <c r="A37" s="7"/>
      <c r="B37" s="6"/>
      <c r="C37" s="6"/>
      <c r="D37" s="6"/>
      <c r="E37" s="3" t="s">
        <v>15</v>
      </c>
      <c r="F37" s="4">
        <f>0.00142*24</f>
        <v>3.4079999999999999E-2</v>
      </c>
      <c r="G37" s="3" t="s">
        <v>22</v>
      </c>
    </row>
    <row r="38" spans="1:7" ht="16" x14ac:dyDescent="0.4">
      <c r="A38" s="7" t="s">
        <v>43</v>
      </c>
      <c r="B38" s="6" t="s">
        <v>7</v>
      </c>
      <c r="C38" s="6" t="s">
        <v>18</v>
      </c>
      <c r="D38" s="6" t="s">
        <v>14</v>
      </c>
      <c r="E38" s="3" t="s">
        <v>16</v>
      </c>
      <c r="F38" s="4">
        <f>-0.00000105</f>
        <v>-1.0499999999999999E-6</v>
      </c>
      <c r="G38" s="3" t="s">
        <v>12</v>
      </c>
    </row>
    <row r="39" spans="1:7" ht="16" x14ac:dyDescent="0.4">
      <c r="A39" s="7"/>
      <c r="B39" s="6"/>
      <c r="C39" s="6"/>
      <c r="D39" s="6"/>
      <c r="E39" s="3" t="s">
        <v>11</v>
      </c>
      <c r="F39" s="4">
        <f>-0.000000877</f>
        <v>-8.7700000000000003E-7</v>
      </c>
      <c r="G39" s="3" t="s">
        <v>12</v>
      </c>
    </row>
    <row r="40" spans="1:7" ht="16" x14ac:dyDescent="0.4">
      <c r="A40" s="7"/>
      <c r="B40" s="6"/>
      <c r="C40" s="6"/>
      <c r="D40" s="6"/>
      <c r="E40" s="3" t="s">
        <v>15</v>
      </c>
      <c r="F40" s="4">
        <f>-0.000000669</f>
        <v>-6.6899999999999997E-7</v>
      </c>
      <c r="G40" s="3" t="s">
        <v>12</v>
      </c>
    </row>
    <row r="41" spans="1:7" ht="16" x14ac:dyDescent="0.4">
      <c r="A41" s="7"/>
      <c r="B41" s="6" t="s">
        <v>8</v>
      </c>
      <c r="C41" s="6"/>
      <c r="D41" s="6" t="s">
        <v>14</v>
      </c>
      <c r="E41" s="3" t="s">
        <v>16</v>
      </c>
      <c r="F41" s="4">
        <f>-0.00000304</f>
        <v>-3.0400000000000001E-6</v>
      </c>
      <c r="G41" s="3" t="s">
        <v>12</v>
      </c>
    </row>
    <row r="42" spans="1:7" ht="16" x14ac:dyDescent="0.4">
      <c r="A42" s="7"/>
      <c r="B42" s="6"/>
      <c r="C42" s="6"/>
      <c r="D42" s="6"/>
      <c r="E42" s="3" t="s">
        <v>11</v>
      </c>
      <c r="F42" s="4">
        <f>-0.00000174</f>
        <v>-1.7400000000000001E-6</v>
      </c>
      <c r="G42" s="3" t="s">
        <v>12</v>
      </c>
    </row>
    <row r="43" spans="1:7" ht="16" x14ac:dyDescent="0.4">
      <c r="A43" s="7"/>
      <c r="B43" s="6"/>
      <c r="C43" s="6"/>
      <c r="D43" s="6"/>
      <c r="E43" s="3" t="s">
        <v>15</v>
      </c>
      <c r="F43" s="4">
        <f>-0.00000102</f>
        <v>-1.02E-6</v>
      </c>
      <c r="G43" s="3" t="s">
        <v>12</v>
      </c>
    </row>
    <row r="44" spans="1:7" ht="16" x14ac:dyDescent="0.4">
      <c r="A44" s="7"/>
      <c r="B44" s="6" t="s">
        <v>9</v>
      </c>
      <c r="C44" s="6"/>
      <c r="D44" s="6" t="s">
        <v>14</v>
      </c>
      <c r="E44" s="3" t="s">
        <v>16</v>
      </c>
      <c r="F44" s="4">
        <f>-0.0000397*24</f>
        <v>-9.5280000000000007E-4</v>
      </c>
      <c r="G44" s="3" t="s">
        <v>12</v>
      </c>
    </row>
    <row r="45" spans="1:7" ht="16" x14ac:dyDescent="0.4">
      <c r="A45" s="7"/>
      <c r="B45" s="6"/>
      <c r="C45" s="6"/>
      <c r="D45" s="6"/>
      <c r="E45" s="3" t="s">
        <v>11</v>
      </c>
      <c r="F45" s="4">
        <f>-0.00000596*24</f>
        <v>-1.4303999999999999E-4</v>
      </c>
      <c r="G45" s="3" t="s">
        <v>12</v>
      </c>
    </row>
    <row r="46" spans="1:7" ht="16" x14ac:dyDescent="0.4">
      <c r="A46" s="7"/>
      <c r="B46" s="6"/>
      <c r="C46" s="6"/>
      <c r="D46" s="6"/>
      <c r="E46" s="3" t="s">
        <v>15</v>
      </c>
      <c r="F46" s="4">
        <f>-0.000000129*24</f>
        <v>-3.0960000000000001E-6</v>
      </c>
      <c r="G46" s="3" t="s">
        <v>12</v>
      </c>
    </row>
    <row r="47" spans="1:7" ht="16" x14ac:dyDescent="0.4">
      <c r="A47" s="7"/>
      <c r="B47" s="6" t="s">
        <v>7</v>
      </c>
      <c r="C47" s="6" t="s">
        <v>10</v>
      </c>
      <c r="D47" s="6" t="s">
        <v>14</v>
      </c>
      <c r="E47" s="3" t="s">
        <v>16</v>
      </c>
      <c r="F47" s="4">
        <v>-1.0300000000000001E-6</v>
      </c>
      <c r="G47" s="3" t="s">
        <v>12</v>
      </c>
    </row>
    <row r="48" spans="1:7" ht="16" x14ac:dyDescent="0.4">
      <c r="A48" s="7"/>
      <c r="B48" s="6"/>
      <c r="C48" s="6"/>
      <c r="D48" s="6"/>
      <c r="E48" s="3" t="s">
        <v>11</v>
      </c>
      <c r="F48" s="4">
        <v>-8.5899999999999995E-7</v>
      </c>
      <c r="G48" s="3" t="s">
        <v>12</v>
      </c>
    </row>
    <row r="49" spans="1:7" ht="16" x14ac:dyDescent="0.4">
      <c r="A49" s="7"/>
      <c r="B49" s="6"/>
      <c r="C49" s="6"/>
      <c r="D49" s="6"/>
      <c r="E49" s="3" t="s">
        <v>15</v>
      </c>
      <c r="F49" s="4">
        <v>-6.5499999999999998E-7</v>
      </c>
      <c r="G49" s="3" t="s">
        <v>12</v>
      </c>
    </row>
    <row r="50" spans="1:7" ht="16" x14ac:dyDescent="0.4">
      <c r="A50" s="7"/>
      <c r="B50" s="6" t="s">
        <v>8</v>
      </c>
      <c r="C50" s="6"/>
      <c r="D50" s="6" t="s">
        <v>14</v>
      </c>
      <c r="E50" s="3" t="s">
        <v>16</v>
      </c>
      <c r="F50" s="4">
        <v>-3.01E-6</v>
      </c>
      <c r="G50" s="3" t="s">
        <v>12</v>
      </c>
    </row>
    <row r="51" spans="1:7" ht="16" x14ac:dyDescent="0.4">
      <c r="A51" s="7"/>
      <c r="B51" s="6"/>
      <c r="C51" s="6"/>
      <c r="D51" s="6"/>
      <c r="E51" s="3" t="s">
        <v>11</v>
      </c>
      <c r="F51" s="4">
        <v>-1.72E-6</v>
      </c>
      <c r="G51" s="3" t="s">
        <v>12</v>
      </c>
    </row>
    <row r="52" spans="1:7" ht="16" x14ac:dyDescent="0.4">
      <c r="A52" s="7"/>
      <c r="B52" s="6"/>
      <c r="C52" s="6"/>
      <c r="D52" s="6"/>
      <c r="E52" s="3" t="s">
        <v>15</v>
      </c>
      <c r="F52" s="4">
        <v>-1.0100000000000001E-6</v>
      </c>
      <c r="G52" s="3" t="s">
        <v>12</v>
      </c>
    </row>
    <row r="53" spans="1:7" ht="16" x14ac:dyDescent="0.4">
      <c r="A53" s="7"/>
      <c r="B53" s="6" t="s">
        <v>9</v>
      </c>
      <c r="C53" s="6"/>
      <c r="D53" s="6" t="s">
        <v>14</v>
      </c>
      <c r="E53" s="3" t="s">
        <v>16</v>
      </c>
      <c r="F53" s="4">
        <f>-0.0000394*24</f>
        <v>-9.456E-4</v>
      </c>
      <c r="G53" s="3" t="s">
        <v>12</v>
      </c>
    </row>
    <row r="54" spans="1:7" ht="16" x14ac:dyDescent="0.4">
      <c r="A54" s="7"/>
      <c r="B54" s="6"/>
      <c r="C54" s="6"/>
      <c r="D54" s="6"/>
      <c r="E54" s="3" t="s">
        <v>11</v>
      </c>
      <c r="F54" s="4">
        <f>-0.0000144*24</f>
        <v>-3.456E-4</v>
      </c>
      <c r="G54" s="3" t="s">
        <v>12</v>
      </c>
    </row>
    <row r="55" spans="1:7" ht="16" x14ac:dyDescent="0.4">
      <c r="A55" s="7"/>
      <c r="B55" s="6"/>
      <c r="C55" s="6"/>
      <c r="D55" s="6"/>
      <c r="E55" s="3" t="s">
        <v>15</v>
      </c>
      <c r="F55" s="4">
        <f>-0.00000369*24</f>
        <v>-8.8559999999999992E-5</v>
      </c>
      <c r="G55" s="3" t="s">
        <v>12</v>
      </c>
    </row>
    <row r="56" spans="1:7" ht="16" x14ac:dyDescent="0.4">
      <c r="A56" s="7"/>
      <c r="B56" s="6"/>
      <c r="C56" s="6"/>
      <c r="D56" s="6" t="s">
        <v>17</v>
      </c>
      <c r="E56" s="3" t="s">
        <v>16</v>
      </c>
      <c r="F56" s="4">
        <f>0.000000038*24</f>
        <v>9.1200000000000012E-7</v>
      </c>
      <c r="G56" s="3" t="s">
        <v>12</v>
      </c>
    </row>
    <row r="57" spans="1:7" ht="16" x14ac:dyDescent="0.4">
      <c r="A57" s="7"/>
      <c r="B57" s="6"/>
      <c r="C57" s="6"/>
      <c r="D57" s="6"/>
      <c r="E57" s="3" t="s">
        <v>11</v>
      </c>
      <c r="F57" s="4">
        <f>0.0000000587*24</f>
        <v>1.4088E-6</v>
      </c>
      <c r="G57" s="3" t="s">
        <v>12</v>
      </c>
    </row>
    <row r="58" spans="1:7" ht="16" x14ac:dyDescent="0.4">
      <c r="A58" s="7"/>
      <c r="B58" s="6"/>
      <c r="C58" s="6"/>
      <c r="D58" s="6"/>
      <c r="E58" s="3" t="s">
        <v>15</v>
      </c>
      <c r="F58" s="4">
        <f>0.0000000676*24</f>
        <v>1.6223999999999999E-6</v>
      </c>
      <c r="G58" s="3" t="s">
        <v>12</v>
      </c>
    </row>
    <row r="59" spans="1:7" ht="16" x14ac:dyDescent="0.4">
      <c r="A59" s="7"/>
      <c r="B59" s="6" t="s">
        <v>7</v>
      </c>
      <c r="C59" s="6" t="s">
        <v>19</v>
      </c>
      <c r="D59" s="6" t="s">
        <v>14</v>
      </c>
      <c r="E59" s="3" t="s">
        <v>16</v>
      </c>
      <c r="F59" s="4">
        <v>-9.9099999999999991E-7</v>
      </c>
      <c r="G59" s="3" t="s">
        <v>12</v>
      </c>
    </row>
    <row r="60" spans="1:7" ht="16" x14ac:dyDescent="0.4">
      <c r="A60" s="7"/>
      <c r="B60" s="6"/>
      <c r="C60" s="6"/>
      <c r="D60" s="6"/>
      <c r="E60" s="3" t="s">
        <v>11</v>
      </c>
      <c r="F60" s="4">
        <v>-8.2900000000000002E-7</v>
      </c>
      <c r="G60" s="3" t="s">
        <v>12</v>
      </c>
    </row>
    <row r="61" spans="1:7" ht="16" x14ac:dyDescent="0.4">
      <c r="A61" s="7"/>
      <c r="B61" s="6"/>
      <c r="C61" s="6"/>
      <c r="D61" s="6"/>
      <c r="E61" s="3" t="s">
        <v>15</v>
      </c>
      <c r="F61" s="4">
        <v>-6.3200000000000005E-7</v>
      </c>
      <c r="G61" s="3" t="s">
        <v>12</v>
      </c>
    </row>
    <row r="62" spans="1:7" ht="16" x14ac:dyDescent="0.4">
      <c r="A62" s="7"/>
      <c r="B62" s="6" t="s">
        <v>8</v>
      </c>
      <c r="C62" s="6"/>
      <c r="D62" s="6" t="s">
        <v>14</v>
      </c>
      <c r="E62" s="3" t="s">
        <v>16</v>
      </c>
      <c r="F62" s="4">
        <v>-2.9699999999999999E-6</v>
      </c>
      <c r="G62" s="3" t="s">
        <v>12</v>
      </c>
    </row>
    <row r="63" spans="1:7" ht="16" x14ac:dyDescent="0.4">
      <c r="A63" s="7"/>
      <c r="B63" s="6"/>
      <c r="C63" s="6"/>
      <c r="D63" s="6"/>
      <c r="E63" s="3" t="s">
        <v>11</v>
      </c>
      <c r="F63" s="4">
        <v>-1.7E-6</v>
      </c>
      <c r="G63" s="3" t="s">
        <v>12</v>
      </c>
    </row>
    <row r="64" spans="1:7" ht="16" x14ac:dyDescent="0.4">
      <c r="A64" s="7"/>
      <c r="B64" s="6"/>
      <c r="C64" s="6"/>
      <c r="D64" s="6"/>
      <c r="E64" s="3" t="s">
        <v>15</v>
      </c>
      <c r="F64" s="4">
        <v>-9.9600000000000008E-7</v>
      </c>
      <c r="G64" s="3" t="s">
        <v>12</v>
      </c>
    </row>
    <row r="65" spans="1:7" ht="16" x14ac:dyDescent="0.4">
      <c r="A65" s="7"/>
      <c r="B65" s="6" t="s">
        <v>9</v>
      </c>
      <c r="C65" s="6"/>
      <c r="D65" s="6" t="s">
        <v>14</v>
      </c>
      <c r="E65" s="3" t="s">
        <v>16</v>
      </c>
      <c r="F65" s="4">
        <f>-0.000039*24</f>
        <v>-9.3599999999999998E-4</v>
      </c>
      <c r="G65" s="3" t="s">
        <v>12</v>
      </c>
    </row>
    <row r="66" spans="1:7" ht="16" x14ac:dyDescent="0.4">
      <c r="A66" s="7"/>
      <c r="B66" s="6"/>
      <c r="C66" s="6"/>
      <c r="D66" s="6"/>
      <c r="E66" s="3" t="s">
        <v>11</v>
      </c>
      <c r="F66" s="4">
        <f>-0.000014*24</f>
        <v>-3.3599999999999998E-4</v>
      </c>
      <c r="G66" s="3" t="s">
        <v>12</v>
      </c>
    </row>
    <row r="67" spans="1:7" ht="16" x14ac:dyDescent="0.4">
      <c r="A67" s="7"/>
      <c r="B67" s="6"/>
      <c r="C67" s="6"/>
      <c r="D67" s="6"/>
      <c r="E67" s="3" t="s">
        <v>15</v>
      </c>
      <c r="F67" s="4">
        <f>-0.00000347*24</f>
        <v>-8.3280000000000002E-5</v>
      </c>
      <c r="G67" s="3" t="s">
        <v>12</v>
      </c>
    </row>
    <row r="68" spans="1:7" ht="16" x14ac:dyDescent="0.4">
      <c r="A68" s="7"/>
      <c r="B68" s="6"/>
      <c r="C68" s="6"/>
      <c r="D68" s="6" t="s">
        <v>17</v>
      </c>
      <c r="E68" s="3" t="s">
        <v>16</v>
      </c>
      <c r="F68" s="4">
        <f>0.000000262*24</f>
        <v>6.2879999999999998E-6</v>
      </c>
      <c r="G68" s="3" t="s">
        <v>12</v>
      </c>
    </row>
    <row r="69" spans="1:7" ht="16" x14ac:dyDescent="0.4">
      <c r="A69" s="7"/>
      <c r="B69" s="6"/>
      <c r="C69" s="6"/>
      <c r="D69" s="6"/>
      <c r="E69" s="3" t="s">
        <v>11</v>
      </c>
      <c r="F69" s="4">
        <f>0.000000405*24</f>
        <v>9.7200000000000001E-6</v>
      </c>
      <c r="G69" s="3" t="s">
        <v>12</v>
      </c>
    </row>
    <row r="70" spans="1:7" ht="16" x14ac:dyDescent="0.4">
      <c r="A70" s="7"/>
      <c r="B70" s="6"/>
      <c r="C70" s="6"/>
      <c r="D70" s="6"/>
      <c r="E70" s="3" t="s">
        <v>15</v>
      </c>
      <c r="F70" s="4">
        <f>0.000000467*24</f>
        <v>1.1208E-5</v>
      </c>
      <c r="G70" s="3" t="s">
        <v>12</v>
      </c>
    </row>
    <row r="71" spans="1:7" ht="16" x14ac:dyDescent="0.4">
      <c r="A71" s="7" t="s">
        <v>44</v>
      </c>
      <c r="B71" s="6" t="s">
        <v>7</v>
      </c>
      <c r="C71" s="6" t="s">
        <v>18</v>
      </c>
      <c r="D71" s="6" t="s">
        <v>14</v>
      </c>
      <c r="E71" s="3" t="s">
        <v>16</v>
      </c>
      <c r="F71" s="4">
        <v>-4.2299999999999997E-9</v>
      </c>
      <c r="G71" s="3" t="s">
        <v>13</v>
      </c>
    </row>
    <row r="72" spans="1:7" ht="16" x14ac:dyDescent="0.4">
      <c r="A72" s="7"/>
      <c r="B72" s="6"/>
      <c r="C72" s="6"/>
      <c r="D72" s="6"/>
      <c r="E72" s="3" t="s">
        <v>11</v>
      </c>
      <c r="F72" s="4">
        <v>-3.53E-9</v>
      </c>
      <c r="G72" s="3" t="s">
        <v>13</v>
      </c>
    </row>
    <row r="73" spans="1:7" ht="16" x14ac:dyDescent="0.4">
      <c r="A73" s="7"/>
      <c r="B73" s="6"/>
      <c r="C73" s="6"/>
      <c r="D73" s="6"/>
      <c r="E73" s="3" t="s">
        <v>15</v>
      </c>
      <c r="F73" s="4">
        <v>-2.69E-9</v>
      </c>
      <c r="G73" s="3" t="s">
        <v>13</v>
      </c>
    </row>
    <row r="74" spans="1:7" ht="16" x14ac:dyDescent="0.4">
      <c r="A74" s="7"/>
      <c r="B74" s="6" t="s">
        <v>8</v>
      </c>
      <c r="C74" s="6"/>
      <c r="D74" s="6" t="s">
        <v>14</v>
      </c>
      <c r="E74" s="3" t="s">
        <v>16</v>
      </c>
      <c r="F74" s="4">
        <v>-4.6200000000000002E-9</v>
      </c>
      <c r="G74" s="3" t="s">
        <v>13</v>
      </c>
    </row>
    <row r="75" spans="1:7" ht="16" x14ac:dyDescent="0.4">
      <c r="A75" s="7"/>
      <c r="B75" s="6"/>
      <c r="C75" s="6"/>
      <c r="D75" s="6"/>
      <c r="E75" s="3" t="s">
        <v>11</v>
      </c>
      <c r="F75" s="4">
        <v>-2.6000000000000001E-9</v>
      </c>
      <c r="G75" s="3" t="s">
        <v>13</v>
      </c>
    </row>
    <row r="76" spans="1:7" ht="16" x14ac:dyDescent="0.4">
      <c r="A76" s="7"/>
      <c r="B76" s="6"/>
      <c r="C76" s="6"/>
      <c r="D76" s="6"/>
      <c r="E76" s="3" t="s">
        <v>15</v>
      </c>
      <c r="F76" s="4">
        <v>-1.5300000000000001E-9</v>
      </c>
      <c r="G76" s="3" t="s">
        <v>13</v>
      </c>
    </row>
    <row r="77" spans="1:7" ht="16" x14ac:dyDescent="0.4">
      <c r="A77" s="7"/>
      <c r="B77" s="6" t="s">
        <v>9</v>
      </c>
      <c r="C77" s="6"/>
      <c r="D77" s="6" t="s">
        <v>14</v>
      </c>
      <c r="E77" s="3" t="s">
        <v>16</v>
      </c>
      <c r="F77" s="4">
        <f>24*-0.0000000139</f>
        <v>-3.3360000000000002E-7</v>
      </c>
      <c r="G77" s="3" t="s">
        <v>13</v>
      </c>
    </row>
    <row r="78" spans="1:7" ht="16" x14ac:dyDescent="0.4">
      <c r="A78" s="7"/>
      <c r="B78" s="6"/>
      <c r="C78" s="6"/>
      <c r="D78" s="6"/>
      <c r="E78" s="3" t="s">
        <v>11</v>
      </c>
      <c r="F78" s="4">
        <f>24* -0.0000000121</f>
        <v>-2.9040000000000001E-7</v>
      </c>
      <c r="G78" s="3" t="s">
        <v>13</v>
      </c>
    </row>
    <row r="79" spans="1:7" ht="16" x14ac:dyDescent="0.4">
      <c r="A79" s="7"/>
      <c r="B79" s="6"/>
      <c r="C79" s="6"/>
      <c r="D79" s="6"/>
      <c r="E79" s="3" t="s">
        <v>15</v>
      </c>
      <c r="F79" s="4">
        <f>24*-0.00000000781</f>
        <v>-1.8743999999999999E-7</v>
      </c>
      <c r="G79" s="3" t="s">
        <v>13</v>
      </c>
    </row>
    <row r="80" spans="1:7" ht="16" x14ac:dyDescent="0.4">
      <c r="A80" s="7"/>
      <c r="B80" s="6"/>
      <c r="C80" s="6"/>
      <c r="D80" s="6" t="s">
        <v>17</v>
      </c>
      <c r="E80" s="3" t="s">
        <v>16</v>
      </c>
      <c r="F80" s="4">
        <f>24*0.00000000198</f>
        <v>4.7520000000000005E-8</v>
      </c>
      <c r="G80" s="3" t="s">
        <v>13</v>
      </c>
    </row>
    <row r="81" spans="1:7" ht="16" x14ac:dyDescent="0.4">
      <c r="A81" s="7"/>
      <c r="B81" s="6"/>
      <c r="C81" s="6"/>
      <c r="D81" s="6"/>
      <c r="E81" s="3" t="s">
        <v>11</v>
      </c>
      <c r="F81" s="4">
        <f>24*0.00000000374</f>
        <v>8.9760000000000004E-8</v>
      </c>
      <c r="G81" s="3" t="s">
        <v>13</v>
      </c>
    </row>
    <row r="82" spans="1:7" ht="16" x14ac:dyDescent="0.4">
      <c r="A82" s="7"/>
      <c r="B82" s="6"/>
      <c r="C82" s="6"/>
      <c r="D82" s="6"/>
      <c r="E82" s="3" t="s">
        <v>15</v>
      </c>
      <c r="F82" s="4">
        <f>24*0.00000000705</f>
        <v>1.6920000000000001E-7</v>
      </c>
      <c r="G82" s="3" t="s">
        <v>13</v>
      </c>
    </row>
    <row r="83" spans="1:7" ht="16" x14ac:dyDescent="0.4">
      <c r="A83" s="7"/>
      <c r="B83" s="6" t="s">
        <v>7</v>
      </c>
      <c r="C83" s="6" t="s">
        <v>10</v>
      </c>
      <c r="D83" s="6" t="s">
        <v>14</v>
      </c>
      <c r="E83" s="3" t="s">
        <v>16</v>
      </c>
      <c r="F83" s="4">
        <v>-6.6599999999999997E-10</v>
      </c>
      <c r="G83" s="3" t="s">
        <v>13</v>
      </c>
    </row>
    <row r="84" spans="1:7" ht="16" x14ac:dyDescent="0.4">
      <c r="A84" s="7"/>
      <c r="B84" s="6"/>
      <c r="C84" s="6"/>
      <c r="D84" s="6"/>
      <c r="E84" s="3" t="s">
        <v>11</v>
      </c>
      <c r="F84" s="4">
        <v>-5.5700000000000004E-10</v>
      </c>
      <c r="G84" s="3" t="s">
        <v>13</v>
      </c>
    </row>
    <row r="85" spans="1:7" ht="16" x14ac:dyDescent="0.4">
      <c r="A85" s="7"/>
      <c r="B85" s="6"/>
      <c r="C85" s="6"/>
      <c r="D85" s="6"/>
      <c r="E85" s="3" t="s">
        <v>15</v>
      </c>
      <c r="F85" s="4">
        <v>-4.2499999999999998E-10</v>
      </c>
      <c r="G85" s="3" t="s">
        <v>13</v>
      </c>
    </row>
    <row r="86" spans="1:7" ht="16" x14ac:dyDescent="0.4">
      <c r="A86" s="7"/>
      <c r="B86" s="6" t="s">
        <v>8</v>
      </c>
      <c r="C86" s="6"/>
      <c r="D86" s="6" t="s">
        <v>17</v>
      </c>
      <c r="E86" s="3" t="s">
        <v>16</v>
      </c>
      <c r="F86" s="4">
        <v>6.2100000000000003E-10</v>
      </c>
      <c r="G86" s="3" t="s">
        <v>13</v>
      </c>
    </row>
    <row r="87" spans="1:7" ht="16" x14ac:dyDescent="0.4">
      <c r="A87" s="7"/>
      <c r="B87" s="6"/>
      <c r="C87" s="6"/>
      <c r="D87" s="6"/>
      <c r="E87" s="3" t="s">
        <v>11</v>
      </c>
      <c r="F87" s="4">
        <v>1.0600000000000001E-9</v>
      </c>
      <c r="G87" s="3" t="s">
        <v>13</v>
      </c>
    </row>
    <row r="88" spans="1:7" ht="16" x14ac:dyDescent="0.4">
      <c r="A88" s="7"/>
      <c r="B88" s="6"/>
      <c r="C88" s="6"/>
      <c r="D88" s="6"/>
      <c r="E88" s="3" t="s">
        <v>15</v>
      </c>
      <c r="F88" s="4">
        <v>1.9099999999999998E-9</v>
      </c>
      <c r="G88" s="3" t="s">
        <v>13</v>
      </c>
    </row>
    <row r="89" spans="1:7" ht="16" x14ac:dyDescent="0.4">
      <c r="A89" s="7"/>
      <c r="B89" s="6" t="s">
        <v>9</v>
      </c>
      <c r="C89" s="6"/>
      <c r="D89" s="6" t="s">
        <v>17</v>
      </c>
      <c r="E89" s="3" t="s">
        <v>16</v>
      </c>
      <c r="F89" s="4">
        <f>0.000000021*24</f>
        <v>5.0399999999999996E-7</v>
      </c>
      <c r="G89" s="3" t="s">
        <v>13</v>
      </c>
    </row>
    <row r="90" spans="1:7" ht="16" x14ac:dyDescent="0.4">
      <c r="A90" s="7"/>
      <c r="B90" s="6"/>
      <c r="C90" s="6"/>
      <c r="D90" s="6"/>
      <c r="E90" s="3" t="s">
        <v>11</v>
      </c>
      <c r="F90" s="4">
        <f>24*0.0000000464</f>
        <v>1.1136E-6</v>
      </c>
      <c r="G90" s="3" t="s">
        <v>13</v>
      </c>
    </row>
    <row r="91" spans="1:7" ht="16" x14ac:dyDescent="0.4">
      <c r="A91" s="7"/>
      <c r="B91" s="6"/>
      <c r="C91" s="6"/>
      <c r="D91" s="6"/>
      <c r="E91" s="3" t="s">
        <v>15</v>
      </c>
      <c r="F91" s="4">
        <f>24*0.0000000584</f>
        <v>1.4016000000000001E-6</v>
      </c>
      <c r="G91" s="3" t="s">
        <v>13</v>
      </c>
    </row>
    <row r="92" spans="1:7" ht="16" x14ac:dyDescent="0.4">
      <c r="A92" s="7"/>
      <c r="B92" s="6" t="s">
        <v>7</v>
      </c>
      <c r="C92" s="6" t="s">
        <v>19</v>
      </c>
      <c r="D92" s="6" t="s">
        <v>17</v>
      </c>
      <c r="E92" s="3" t="s">
        <v>16</v>
      </c>
      <c r="F92" s="4">
        <v>6.7100000000000002E-9</v>
      </c>
      <c r="G92" s="3" t="s">
        <v>13</v>
      </c>
    </row>
    <row r="93" spans="1:7" ht="16" x14ac:dyDescent="0.4">
      <c r="A93" s="7"/>
      <c r="B93" s="6"/>
      <c r="C93" s="6"/>
      <c r="D93" s="6"/>
      <c r="E93" s="3" t="s">
        <v>11</v>
      </c>
      <c r="F93" s="4">
        <v>8.8100000000000008E-9</v>
      </c>
      <c r="G93" s="3" t="s">
        <v>13</v>
      </c>
    </row>
    <row r="94" spans="1:7" ht="16" x14ac:dyDescent="0.4">
      <c r="A94" s="7"/>
      <c r="B94" s="6"/>
      <c r="C94" s="6"/>
      <c r="D94" s="6"/>
      <c r="E94" s="3" t="s">
        <v>15</v>
      </c>
      <c r="F94" s="4">
        <v>1.0600000000000001E-8</v>
      </c>
      <c r="G94" s="3" t="s">
        <v>13</v>
      </c>
    </row>
    <row r="95" spans="1:7" ht="16" x14ac:dyDescent="0.4">
      <c r="A95" s="7"/>
      <c r="B95" s="6" t="s">
        <v>8</v>
      </c>
      <c r="C95" s="6"/>
      <c r="D95" s="6" t="s">
        <v>17</v>
      </c>
      <c r="E95" s="3" t="s">
        <v>16</v>
      </c>
      <c r="F95" s="4">
        <v>8.4100000000000005E-9</v>
      </c>
      <c r="G95" s="3" t="s">
        <v>13</v>
      </c>
    </row>
    <row r="96" spans="1:7" ht="16" x14ac:dyDescent="0.4">
      <c r="A96" s="7"/>
      <c r="B96" s="6"/>
      <c r="C96" s="6"/>
      <c r="D96" s="6"/>
      <c r="E96" s="3" t="s">
        <v>11</v>
      </c>
      <c r="F96" s="4">
        <v>1.4300000000000001E-8</v>
      </c>
      <c r="G96" s="3" t="s">
        <v>13</v>
      </c>
    </row>
    <row r="97" spans="1:7" ht="16" x14ac:dyDescent="0.4">
      <c r="A97" s="7"/>
      <c r="B97" s="6"/>
      <c r="C97" s="6"/>
      <c r="D97" s="6"/>
      <c r="E97" s="3" t="s">
        <v>15</v>
      </c>
      <c r="F97" s="4">
        <v>2.55E-8</v>
      </c>
      <c r="G97" s="3" t="s">
        <v>13</v>
      </c>
    </row>
    <row r="98" spans="1:7" ht="16" x14ac:dyDescent="0.4">
      <c r="A98" s="7"/>
      <c r="B98" s="6" t="s">
        <v>9</v>
      </c>
      <c r="C98" s="6"/>
      <c r="D98" s="6" t="s">
        <v>17</v>
      </c>
      <c r="E98" s="3" t="s">
        <v>16</v>
      </c>
      <c r="F98" s="4">
        <f>24*0.000000106</f>
        <v>2.5439999999999997E-6</v>
      </c>
      <c r="G98" s="3" t="s">
        <v>13</v>
      </c>
    </row>
    <row r="99" spans="1:7" ht="16" x14ac:dyDescent="0.4">
      <c r="A99" s="7"/>
      <c r="B99" s="6"/>
      <c r="C99" s="6"/>
      <c r="D99" s="6"/>
      <c r="E99" s="3" t="s">
        <v>11</v>
      </c>
      <c r="F99" s="4">
        <f>24*0.000000177</f>
        <v>4.2480000000000007E-6</v>
      </c>
      <c r="G99" s="3" t="s">
        <v>13</v>
      </c>
    </row>
    <row r="100" spans="1:7" ht="16" x14ac:dyDescent="0.4">
      <c r="A100" s="7"/>
      <c r="B100" s="6"/>
      <c r="C100" s="6"/>
      <c r="D100" s="6"/>
      <c r="E100" s="3" t="s">
        <v>15</v>
      </c>
      <c r="F100" s="4">
        <f>24*0.000000209</f>
        <v>5.0159999999999999E-6</v>
      </c>
      <c r="G100" s="3" t="s">
        <v>13</v>
      </c>
    </row>
    <row r="101" spans="1:7" ht="18" x14ac:dyDescent="0.4">
      <c r="A101" s="7" t="s">
        <v>5</v>
      </c>
      <c r="B101" s="6" t="s">
        <v>7</v>
      </c>
      <c r="C101" s="6" t="s">
        <v>18</v>
      </c>
      <c r="D101" s="6" t="s">
        <v>17</v>
      </c>
      <c r="E101" s="3" t="s">
        <v>16</v>
      </c>
      <c r="F101" s="4">
        <v>0.41499999999999998</v>
      </c>
      <c r="G101" s="3" t="s">
        <v>23</v>
      </c>
    </row>
    <row r="102" spans="1:7" ht="18" x14ac:dyDescent="0.4">
      <c r="A102" s="7"/>
      <c r="B102" s="6"/>
      <c r="C102" s="6"/>
      <c r="D102" s="6"/>
      <c r="E102" s="3" t="s">
        <v>11</v>
      </c>
      <c r="F102" s="4">
        <v>0.54400000000000004</v>
      </c>
      <c r="G102" s="3" t="s">
        <v>23</v>
      </c>
    </row>
    <row r="103" spans="1:7" ht="18" x14ac:dyDescent="0.4">
      <c r="A103" s="7"/>
      <c r="B103" s="6"/>
      <c r="C103" s="6"/>
      <c r="D103" s="6"/>
      <c r="E103" s="3" t="s">
        <v>15</v>
      </c>
      <c r="F103" s="4">
        <v>0.65200000000000002</v>
      </c>
      <c r="G103" s="3" t="s">
        <v>23</v>
      </c>
    </row>
    <row r="104" spans="1:7" ht="18" x14ac:dyDescent="0.4">
      <c r="A104" s="7"/>
      <c r="B104" s="6" t="s">
        <v>8</v>
      </c>
      <c r="C104" s="6"/>
      <c r="D104" s="6" t="s">
        <v>17</v>
      </c>
      <c r="E104" s="3" t="s">
        <v>16</v>
      </c>
      <c r="F104" s="4">
        <v>1.84E-2</v>
      </c>
      <c r="G104" s="3" t="s">
        <v>23</v>
      </c>
    </row>
    <row r="105" spans="1:7" ht="18" x14ac:dyDescent="0.4">
      <c r="A105" s="7"/>
      <c r="B105" s="6"/>
      <c r="C105" s="6"/>
      <c r="D105" s="6"/>
      <c r="E105" s="3" t="s">
        <v>11</v>
      </c>
      <c r="F105" s="4">
        <v>3.1199999999999999E-2</v>
      </c>
      <c r="G105" s="3" t="s">
        <v>23</v>
      </c>
    </row>
    <row r="106" spans="1:7" ht="18" x14ac:dyDescent="0.4">
      <c r="A106" s="7"/>
      <c r="B106" s="6"/>
      <c r="C106" s="6"/>
      <c r="D106" s="6"/>
      <c r="E106" s="3" t="s">
        <v>15</v>
      </c>
      <c r="F106" s="4">
        <v>5.6099999999999997E-2</v>
      </c>
      <c r="G106" s="3" t="s">
        <v>23</v>
      </c>
    </row>
    <row r="107" spans="1:7" ht="18" x14ac:dyDescent="0.4">
      <c r="A107" s="7"/>
      <c r="B107" s="6" t="s">
        <v>9</v>
      </c>
      <c r="C107" s="6"/>
      <c r="D107" s="6" t="s">
        <v>17</v>
      </c>
      <c r="E107" s="3" t="s">
        <v>16</v>
      </c>
      <c r="F107" s="4">
        <f>24*0.167</f>
        <v>4.008</v>
      </c>
      <c r="G107" s="3" t="s">
        <v>23</v>
      </c>
    </row>
    <row r="108" spans="1:7" ht="18" x14ac:dyDescent="0.4">
      <c r="A108" s="7"/>
      <c r="B108" s="6"/>
      <c r="C108" s="6"/>
      <c r="D108" s="6"/>
      <c r="E108" s="3" t="s">
        <v>11</v>
      </c>
      <c r="F108" s="4">
        <f>24* 0.386</f>
        <v>9.2639999999999993</v>
      </c>
      <c r="G108" s="3" t="s">
        <v>23</v>
      </c>
    </row>
    <row r="109" spans="1:7" ht="18" x14ac:dyDescent="0.4">
      <c r="A109" s="7"/>
      <c r="B109" s="6"/>
      <c r="C109" s="6"/>
      <c r="D109" s="6"/>
      <c r="E109" s="3" t="s">
        <v>15</v>
      </c>
      <c r="F109" s="4">
        <f>24*0.488</f>
        <v>11.712</v>
      </c>
      <c r="G109" s="3" t="s">
        <v>23</v>
      </c>
    </row>
    <row r="110" spans="1:7" ht="18" x14ac:dyDescent="0.4">
      <c r="A110" s="7"/>
      <c r="B110" s="6" t="s">
        <v>7</v>
      </c>
      <c r="C110" s="6" t="s">
        <v>10</v>
      </c>
      <c r="D110" s="6" t="s">
        <v>17</v>
      </c>
      <c r="E110" s="3" t="s">
        <v>16</v>
      </c>
      <c r="F110" s="4">
        <v>0.49</v>
      </c>
      <c r="G110" s="3" t="s">
        <v>23</v>
      </c>
    </row>
    <row r="111" spans="1:7" ht="18" x14ac:dyDescent="0.4">
      <c r="A111" s="7"/>
      <c r="B111" s="6"/>
      <c r="C111" s="6"/>
      <c r="D111" s="6"/>
      <c r="E111" s="3" t="s">
        <v>11</v>
      </c>
      <c r="F111" s="4">
        <v>0.64300000000000002</v>
      </c>
      <c r="G111" s="3" t="s">
        <v>23</v>
      </c>
    </row>
    <row r="112" spans="1:7" ht="18" x14ac:dyDescent="0.4">
      <c r="A112" s="7"/>
      <c r="B112" s="6"/>
      <c r="C112" s="6"/>
      <c r="D112" s="6"/>
      <c r="E112" s="3" t="s">
        <v>15</v>
      </c>
      <c r="F112" s="4">
        <v>0.77</v>
      </c>
      <c r="G112" s="3" t="s">
        <v>23</v>
      </c>
    </row>
    <row r="113" spans="1:7" ht="18" x14ac:dyDescent="0.4">
      <c r="A113" s="7"/>
      <c r="B113" s="6" t="s">
        <v>8</v>
      </c>
      <c r="C113" s="6"/>
      <c r="D113" s="6" t="s">
        <v>17</v>
      </c>
      <c r="E113" s="3" t="s">
        <v>16</v>
      </c>
      <c r="F113" s="4">
        <v>5.3499999999999999E-2</v>
      </c>
      <c r="G113" s="3" t="s">
        <v>23</v>
      </c>
    </row>
    <row r="114" spans="1:7" ht="18" x14ac:dyDescent="0.4">
      <c r="A114" s="7"/>
      <c r="B114" s="6"/>
      <c r="C114" s="6"/>
      <c r="D114" s="6"/>
      <c r="E114" s="3" t="s">
        <v>11</v>
      </c>
      <c r="F114" s="4">
        <v>9.0700000000000003E-2</v>
      </c>
      <c r="G114" s="3" t="s">
        <v>23</v>
      </c>
    </row>
    <row r="115" spans="1:7" ht="18" x14ac:dyDescent="0.4">
      <c r="A115" s="7"/>
      <c r="B115" s="6"/>
      <c r="C115" s="6"/>
      <c r="D115" s="6"/>
      <c r="E115" s="3" t="s">
        <v>15</v>
      </c>
      <c r="F115" s="4">
        <v>0.16200000000000001</v>
      </c>
      <c r="G115" s="3" t="s">
        <v>23</v>
      </c>
    </row>
    <row r="116" spans="1:7" ht="18" x14ac:dyDescent="0.4">
      <c r="A116" s="7"/>
      <c r="B116" s="6" t="s">
        <v>9</v>
      </c>
      <c r="C116" s="6"/>
      <c r="D116" s="6" t="s">
        <v>17</v>
      </c>
      <c r="E116" s="3" t="s">
        <v>16</v>
      </c>
      <c r="F116" s="4">
        <f>24*0.433</f>
        <v>10.391999999999999</v>
      </c>
      <c r="G116" s="3" t="s">
        <v>23</v>
      </c>
    </row>
    <row r="117" spans="1:7" ht="18" x14ac:dyDescent="0.4">
      <c r="A117" s="7"/>
      <c r="B117" s="6"/>
      <c r="C117" s="6"/>
      <c r="D117" s="6"/>
      <c r="E117" s="3" t="s">
        <v>11</v>
      </c>
      <c r="F117" s="4">
        <f>24*0.787</f>
        <v>18.888000000000002</v>
      </c>
      <c r="G117" s="3" t="s">
        <v>23</v>
      </c>
    </row>
    <row r="118" spans="1:7" ht="18" x14ac:dyDescent="0.4">
      <c r="A118" s="7"/>
      <c r="B118" s="6"/>
      <c r="C118" s="6"/>
      <c r="D118" s="6"/>
      <c r="E118" s="3" t="s">
        <v>15</v>
      </c>
      <c r="F118" s="4">
        <f>24*0.962</f>
        <v>23.088000000000001</v>
      </c>
      <c r="G118" s="3" t="s">
        <v>23</v>
      </c>
    </row>
    <row r="119" spans="1:7" ht="18" x14ac:dyDescent="0.4">
      <c r="A119" s="7"/>
      <c r="B119" s="6" t="s">
        <v>7</v>
      </c>
      <c r="C119" s="6" t="s">
        <v>19</v>
      </c>
      <c r="D119" s="6" t="s">
        <v>17</v>
      </c>
      <c r="E119" s="3" t="s">
        <v>16</v>
      </c>
      <c r="F119" s="4">
        <v>0.59</v>
      </c>
      <c r="G119" s="3" t="s">
        <v>23</v>
      </c>
    </row>
    <row r="120" spans="1:7" ht="18" x14ac:dyDescent="0.4">
      <c r="A120" s="7"/>
      <c r="B120" s="6"/>
      <c r="C120" s="6"/>
      <c r="D120" s="6"/>
      <c r="E120" s="3" t="s">
        <v>11</v>
      </c>
      <c r="F120" s="4">
        <v>0.77400000000000002</v>
      </c>
      <c r="G120" s="3" t="s">
        <v>23</v>
      </c>
    </row>
    <row r="121" spans="1:7" ht="18" x14ac:dyDescent="0.4">
      <c r="A121" s="7"/>
      <c r="B121" s="6"/>
      <c r="C121" s="6"/>
      <c r="D121" s="6"/>
      <c r="E121" s="3" t="s">
        <v>15</v>
      </c>
      <c r="F121" s="4">
        <v>0.92700000000000005</v>
      </c>
      <c r="G121" s="3" t="s">
        <v>23</v>
      </c>
    </row>
    <row r="122" spans="1:7" ht="18" x14ac:dyDescent="0.4">
      <c r="A122" s="7"/>
      <c r="B122" s="6" t="s">
        <v>8</v>
      </c>
      <c r="C122" s="6"/>
      <c r="D122" s="6" t="s">
        <v>17</v>
      </c>
      <c r="E122" s="3" t="s">
        <v>16</v>
      </c>
      <c r="F122" s="4">
        <v>0.10299999999999999</v>
      </c>
      <c r="G122" s="3" t="s">
        <v>23</v>
      </c>
    </row>
    <row r="123" spans="1:7" ht="18" x14ac:dyDescent="0.4">
      <c r="A123" s="7"/>
      <c r="B123" s="6"/>
      <c r="C123" s="6"/>
      <c r="D123" s="6"/>
      <c r="E123" s="3" t="s">
        <v>11</v>
      </c>
      <c r="F123" s="4">
        <v>0.17399999999999999</v>
      </c>
      <c r="G123" s="3" t="s">
        <v>23</v>
      </c>
    </row>
    <row r="124" spans="1:7" ht="18" x14ac:dyDescent="0.4">
      <c r="A124" s="7"/>
      <c r="B124" s="6"/>
      <c r="C124" s="6"/>
      <c r="D124" s="6"/>
      <c r="E124" s="3" t="s">
        <v>15</v>
      </c>
      <c r="F124" s="4">
        <v>0.311</v>
      </c>
      <c r="G124" s="3" t="s">
        <v>23</v>
      </c>
    </row>
    <row r="125" spans="1:7" ht="18" x14ac:dyDescent="0.4">
      <c r="A125" s="7"/>
      <c r="B125" s="6" t="s">
        <v>9</v>
      </c>
      <c r="C125" s="6"/>
      <c r="D125" s="6" t="s">
        <v>17</v>
      </c>
      <c r="E125" s="3" t="s">
        <v>16</v>
      </c>
      <c r="F125" s="4">
        <f>24*0.906</f>
        <v>21.744</v>
      </c>
      <c r="G125" s="3" t="s">
        <v>23</v>
      </c>
    </row>
    <row r="126" spans="1:7" ht="18" x14ac:dyDescent="0.4">
      <c r="A126" s="7"/>
      <c r="B126" s="6"/>
      <c r="C126" s="6"/>
      <c r="D126" s="6"/>
      <c r="E126" s="3" t="s">
        <v>11</v>
      </c>
      <c r="F126" s="4">
        <f>24*1.4</f>
        <v>33.599999999999994</v>
      </c>
      <c r="G126" s="3" t="s">
        <v>23</v>
      </c>
    </row>
    <row r="127" spans="1:7" ht="18" x14ac:dyDescent="0.4">
      <c r="A127" s="7"/>
      <c r="B127" s="6"/>
      <c r="C127" s="6"/>
      <c r="D127" s="6"/>
      <c r="E127" s="3" t="s">
        <v>15</v>
      </c>
      <c r="F127" s="4">
        <f>24*1.61</f>
        <v>38.64</v>
      </c>
      <c r="G127" s="3" t="s">
        <v>23</v>
      </c>
    </row>
    <row r="128" spans="1:7" x14ac:dyDescent="0.35">
      <c r="B128" s="1"/>
      <c r="D128" s="1"/>
    </row>
  </sheetData>
  <mergeCells count="95">
    <mergeCell ref="L2:M2"/>
    <mergeCell ref="D14:D16"/>
    <mergeCell ref="D17:D19"/>
    <mergeCell ref="B14:B16"/>
    <mergeCell ref="B17:B19"/>
    <mergeCell ref="B20:B25"/>
    <mergeCell ref="D20:D22"/>
    <mergeCell ref="D23:D25"/>
    <mergeCell ref="C14:C25"/>
    <mergeCell ref="D2:D4"/>
    <mergeCell ref="B5:B7"/>
    <mergeCell ref="D5:D7"/>
    <mergeCell ref="B8:B13"/>
    <mergeCell ref="D8:D10"/>
    <mergeCell ref="D11:D13"/>
    <mergeCell ref="D26:D28"/>
    <mergeCell ref="B29:B31"/>
    <mergeCell ref="D29:D31"/>
    <mergeCell ref="B32:B37"/>
    <mergeCell ref="D32:D34"/>
    <mergeCell ref="D35:D37"/>
    <mergeCell ref="C26:C37"/>
    <mergeCell ref="D38:D40"/>
    <mergeCell ref="B41:B43"/>
    <mergeCell ref="D41:D43"/>
    <mergeCell ref="B44:B46"/>
    <mergeCell ref="D44:D46"/>
    <mergeCell ref="A2:A37"/>
    <mergeCell ref="C2:C13"/>
    <mergeCell ref="A38:A70"/>
    <mergeCell ref="B38:B40"/>
    <mergeCell ref="C38:C46"/>
    <mergeCell ref="B26:B28"/>
    <mergeCell ref="B2:B4"/>
    <mergeCell ref="B47:B49"/>
    <mergeCell ref="C47:C58"/>
    <mergeCell ref="B59:B61"/>
    <mergeCell ref="C59:C70"/>
    <mergeCell ref="D47:D49"/>
    <mergeCell ref="B50:B52"/>
    <mergeCell ref="D50:D52"/>
    <mergeCell ref="B53:B58"/>
    <mergeCell ref="D53:D55"/>
    <mergeCell ref="D56:D58"/>
    <mergeCell ref="D59:D61"/>
    <mergeCell ref="B62:B64"/>
    <mergeCell ref="D62:D64"/>
    <mergeCell ref="B65:B70"/>
    <mergeCell ref="D65:D67"/>
    <mergeCell ref="D68:D70"/>
    <mergeCell ref="A71:A100"/>
    <mergeCell ref="B71:B73"/>
    <mergeCell ref="C71:C82"/>
    <mergeCell ref="D71:D73"/>
    <mergeCell ref="B74:B76"/>
    <mergeCell ref="D74:D76"/>
    <mergeCell ref="B77:B82"/>
    <mergeCell ref="D77:D79"/>
    <mergeCell ref="D80:D82"/>
    <mergeCell ref="B83:B85"/>
    <mergeCell ref="C83:C91"/>
    <mergeCell ref="D83:D85"/>
    <mergeCell ref="B86:B88"/>
    <mergeCell ref="D86:D88"/>
    <mergeCell ref="B89:B91"/>
    <mergeCell ref="D89:D91"/>
    <mergeCell ref="B92:B94"/>
    <mergeCell ref="C92:C100"/>
    <mergeCell ref="D92:D94"/>
    <mergeCell ref="B95:B97"/>
    <mergeCell ref="D95:D97"/>
    <mergeCell ref="B98:B100"/>
    <mergeCell ref="D98:D100"/>
    <mergeCell ref="A101:A127"/>
    <mergeCell ref="B101:B103"/>
    <mergeCell ref="C101:C109"/>
    <mergeCell ref="D101:D103"/>
    <mergeCell ref="B104:B106"/>
    <mergeCell ref="D104:D106"/>
    <mergeCell ref="B107:B109"/>
    <mergeCell ref="D107:D109"/>
    <mergeCell ref="B110:B112"/>
    <mergeCell ref="C110:C118"/>
    <mergeCell ref="D110:D112"/>
    <mergeCell ref="B113:B115"/>
    <mergeCell ref="D113:D115"/>
    <mergeCell ref="B116:B118"/>
    <mergeCell ref="D116:D118"/>
    <mergeCell ref="B119:B121"/>
    <mergeCell ref="C119:C127"/>
    <mergeCell ref="D119:D121"/>
    <mergeCell ref="B122:B124"/>
    <mergeCell ref="D122:D124"/>
    <mergeCell ref="B125:B127"/>
    <mergeCell ref="D125:D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4FA7-C3B7-4FC2-9687-53D731398794}">
  <dimension ref="A1:BX81"/>
  <sheetViews>
    <sheetView topLeftCell="I57" zoomScale="86" workbookViewId="0">
      <selection activeCell="P80" sqref="P80"/>
    </sheetView>
  </sheetViews>
  <sheetFormatPr defaultRowHeight="14.5" x14ac:dyDescent="0.35"/>
  <sheetData>
    <row r="1" spans="1:76" ht="25" x14ac:dyDescent="0.65">
      <c r="B1" s="9" t="s">
        <v>42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 t="s">
        <v>24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1" t="s">
        <v>25</v>
      </c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2" t="s">
        <v>26</v>
      </c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3" t="s">
        <v>27</v>
      </c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</row>
    <row r="2" spans="1:76" x14ac:dyDescent="0.35">
      <c r="B2" s="8" t="s">
        <v>28</v>
      </c>
      <c r="C2" s="8"/>
      <c r="D2" s="8"/>
      <c r="E2" s="8" t="s">
        <v>29</v>
      </c>
      <c r="F2" s="8"/>
      <c r="G2" s="8"/>
      <c r="H2" s="8" t="s">
        <v>30</v>
      </c>
      <c r="I2" s="8"/>
      <c r="J2" s="8"/>
      <c r="K2" s="8" t="s">
        <v>31</v>
      </c>
      <c r="L2" s="8"/>
      <c r="M2" s="8"/>
      <c r="N2" s="8" t="s">
        <v>32</v>
      </c>
      <c r="O2" s="8"/>
      <c r="P2" s="8"/>
      <c r="Q2" s="8" t="s">
        <v>33</v>
      </c>
      <c r="R2" s="8"/>
      <c r="S2" s="8"/>
      <c r="T2" s="8" t="s">
        <v>34</v>
      </c>
      <c r="U2" s="8"/>
      <c r="V2" s="8"/>
      <c r="W2" s="8" t="s">
        <v>35</v>
      </c>
      <c r="X2" s="8"/>
      <c r="Y2" s="8"/>
      <c r="Z2" s="8" t="s">
        <v>36</v>
      </c>
      <c r="AA2" s="8"/>
      <c r="AB2" s="8"/>
      <c r="AC2" s="8" t="s">
        <v>37</v>
      </c>
      <c r="AD2" s="8"/>
      <c r="AE2" s="8"/>
      <c r="AF2" s="8" t="s">
        <v>33</v>
      </c>
      <c r="AG2" s="8"/>
      <c r="AH2" s="8"/>
      <c r="AI2" s="8" t="s">
        <v>34</v>
      </c>
      <c r="AJ2" s="8"/>
      <c r="AK2" s="8"/>
      <c r="AL2" s="8" t="s">
        <v>35</v>
      </c>
      <c r="AM2" s="8"/>
      <c r="AN2" s="8"/>
      <c r="AO2" s="8" t="s">
        <v>36</v>
      </c>
      <c r="AP2" s="8"/>
      <c r="AQ2" s="8"/>
      <c r="AR2" s="8" t="s">
        <v>37</v>
      </c>
      <c r="AS2" s="8"/>
      <c r="AT2" s="8"/>
      <c r="AU2" s="8" t="s">
        <v>33</v>
      </c>
      <c r="AV2" s="8"/>
      <c r="AW2" s="8"/>
      <c r="AX2" s="8" t="s">
        <v>34</v>
      </c>
      <c r="AY2" s="8"/>
      <c r="AZ2" s="8"/>
      <c r="BA2" s="8" t="s">
        <v>35</v>
      </c>
      <c r="BB2" s="8"/>
      <c r="BC2" s="8"/>
      <c r="BD2" s="8" t="s">
        <v>36</v>
      </c>
      <c r="BE2" s="8"/>
      <c r="BF2" s="8"/>
      <c r="BG2" s="8" t="s">
        <v>37</v>
      </c>
      <c r="BH2" s="8"/>
      <c r="BI2" s="8"/>
      <c r="BJ2" s="8" t="s">
        <v>33</v>
      </c>
      <c r="BK2" s="8"/>
      <c r="BL2" s="8"/>
      <c r="BM2" s="8" t="s">
        <v>34</v>
      </c>
      <c r="BN2" s="8"/>
      <c r="BO2" s="8"/>
      <c r="BP2" s="8" t="s">
        <v>35</v>
      </c>
      <c r="BQ2" s="8"/>
      <c r="BR2" s="8"/>
      <c r="BS2" s="8" t="s">
        <v>36</v>
      </c>
      <c r="BT2" s="8"/>
      <c r="BU2" s="8"/>
      <c r="BV2" s="8" t="s">
        <v>37</v>
      </c>
      <c r="BW2" s="8"/>
      <c r="BX2" s="8"/>
    </row>
    <row r="3" spans="1:76" x14ac:dyDescent="0.35">
      <c r="A3" t="s">
        <v>38</v>
      </c>
      <c r="B3" t="s">
        <v>39</v>
      </c>
      <c r="C3" t="s">
        <v>40</v>
      </c>
      <c r="D3" t="s">
        <v>41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41</v>
      </c>
      <c r="K3" t="s">
        <v>39</v>
      </c>
      <c r="L3" t="s">
        <v>40</v>
      </c>
      <c r="M3" t="s">
        <v>41</v>
      </c>
      <c r="N3" t="s">
        <v>39</v>
      </c>
      <c r="O3" t="s">
        <v>40</v>
      </c>
      <c r="P3" t="s">
        <v>41</v>
      </c>
      <c r="Q3" t="s">
        <v>39</v>
      </c>
      <c r="R3" t="s">
        <v>40</v>
      </c>
      <c r="S3" t="s">
        <v>41</v>
      </c>
      <c r="T3" t="s">
        <v>39</v>
      </c>
      <c r="U3" t="s">
        <v>40</v>
      </c>
      <c r="V3" t="s">
        <v>41</v>
      </c>
      <c r="W3" t="s">
        <v>39</v>
      </c>
      <c r="X3" t="s">
        <v>40</v>
      </c>
      <c r="Y3" t="s">
        <v>41</v>
      </c>
      <c r="Z3" t="s">
        <v>39</v>
      </c>
      <c r="AA3" t="s">
        <v>40</v>
      </c>
      <c r="AB3" t="s">
        <v>41</v>
      </c>
      <c r="AC3" t="s">
        <v>39</v>
      </c>
      <c r="AD3" t="s">
        <v>40</v>
      </c>
      <c r="AE3" t="s">
        <v>41</v>
      </c>
      <c r="AF3" t="s">
        <v>39</v>
      </c>
      <c r="AG3" t="s">
        <v>40</v>
      </c>
      <c r="AH3" t="s">
        <v>41</v>
      </c>
      <c r="AI3" t="s">
        <v>39</v>
      </c>
      <c r="AJ3" t="s">
        <v>40</v>
      </c>
      <c r="AK3" t="s">
        <v>41</v>
      </c>
      <c r="AL3" t="s">
        <v>39</v>
      </c>
      <c r="AM3" t="s">
        <v>40</v>
      </c>
      <c r="AN3" t="s">
        <v>41</v>
      </c>
      <c r="AO3" t="s">
        <v>39</v>
      </c>
      <c r="AP3" t="s">
        <v>40</v>
      </c>
      <c r="AQ3" t="s">
        <v>41</v>
      </c>
      <c r="AR3" t="s">
        <v>39</v>
      </c>
      <c r="AS3" t="s">
        <v>40</v>
      </c>
      <c r="AT3" t="s">
        <v>41</v>
      </c>
      <c r="AU3" t="s">
        <v>39</v>
      </c>
      <c r="AV3" t="s">
        <v>40</v>
      </c>
      <c r="AW3" t="s">
        <v>41</v>
      </c>
      <c r="AX3" t="s">
        <v>39</v>
      </c>
      <c r="AY3" t="s">
        <v>40</v>
      </c>
      <c r="AZ3" t="s">
        <v>41</v>
      </c>
      <c r="BA3" t="s">
        <v>39</v>
      </c>
      <c r="BB3" t="s">
        <v>40</v>
      </c>
      <c r="BC3" t="s">
        <v>41</v>
      </c>
      <c r="BD3" t="s">
        <v>39</v>
      </c>
      <c r="BE3" t="s">
        <v>40</v>
      </c>
      <c r="BF3" t="s">
        <v>41</v>
      </c>
      <c r="BG3" t="s">
        <v>39</v>
      </c>
      <c r="BH3" t="s">
        <v>40</v>
      </c>
      <c r="BI3" t="s">
        <v>41</v>
      </c>
      <c r="BJ3" t="s">
        <v>39</v>
      </c>
      <c r="BK3" t="s">
        <v>40</v>
      </c>
      <c r="BL3" t="s">
        <v>41</v>
      </c>
      <c r="BM3" t="s">
        <v>39</v>
      </c>
      <c r="BN3" t="s">
        <v>40</v>
      </c>
      <c r="BO3" t="s">
        <v>41</v>
      </c>
      <c r="BP3" t="s">
        <v>39</v>
      </c>
      <c r="BQ3" t="s">
        <v>40</v>
      </c>
      <c r="BR3" t="s">
        <v>41</v>
      </c>
      <c r="BS3" t="s">
        <v>39</v>
      </c>
      <c r="BT3" t="s">
        <v>40</v>
      </c>
      <c r="BU3" t="s">
        <v>41</v>
      </c>
      <c r="BV3" t="s">
        <v>39</v>
      </c>
      <c r="BW3" t="s">
        <v>40</v>
      </c>
      <c r="BX3" t="s">
        <v>41</v>
      </c>
    </row>
    <row r="4" spans="1:76" x14ac:dyDescent="0.35">
      <c r="A4">
        <v>2025</v>
      </c>
      <c r="B4" s="5">
        <v>40</v>
      </c>
      <c r="C4" s="5">
        <v>1448</v>
      </c>
      <c r="D4" s="5">
        <v>6543</v>
      </c>
      <c r="E4" s="5">
        <v>40</v>
      </c>
      <c r="F4" s="5">
        <v>1455</v>
      </c>
      <c r="G4" s="5">
        <v>6610</v>
      </c>
      <c r="H4" s="5">
        <v>39</v>
      </c>
      <c r="I4" s="5">
        <v>1461</v>
      </c>
      <c r="J4" s="5">
        <v>6673</v>
      </c>
      <c r="K4" s="5">
        <v>39</v>
      </c>
      <c r="L4" s="5">
        <v>1445</v>
      </c>
      <c r="M4" s="5">
        <v>6612</v>
      </c>
      <c r="N4" s="5">
        <v>41</v>
      </c>
      <c r="O4" s="5">
        <v>1448</v>
      </c>
      <c r="P4" s="5">
        <v>6552</v>
      </c>
      <c r="Q4">
        <f>7*(B4/(SUM($B4:$D4)))</f>
        <v>3.4864898518241809E-2</v>
      </c>
      <c r="R4">
        <f t="shared" ref="R4:S4" si="0">7*(C4/(SUM($B4:$D4)))</f>
        <v>1.2621093263603536</v>
      </c>
      <c r="S4">
        <f t="shared" si="0"/>
        <v>5.7030257751214046</v>
      </c>
      <c r="T4">
        <f>7*(E4/(SUM($E4:$G4)))</f>
        <v>3.4546576187538557E-2</v>
      </c>
      <c r="U4">
        <f t="shared" ref="U4:V19" si="1">7*(F4/(SUM($E4:$G4)))</f>
        <v>1.2566317088217149</v>
      </c>
      <c r="V4">
        <f t="shared" si="1"/>
        <v>5.7088217149907461</v>
      </c>
      <c r="W4">
        <f>7*(H4/(SUM($H4:$J4)))</f>
        <v>3.3402667319221827E-2</v>
      </c>
      <c r="X4">
        <f t="shared" ref="X4:Y19" si="2">7*(I4/(SUM($H4:$J4)))</f>
        <v>1.2513153064970024</v>
      </c>
      <c r="Y4">
        <f t="shared" si="2"/>
        <v>5.7152820261837753</v>
      </c>
      <c r="Z4">
        <f>7*(K4/(SUM($K4:$M4)))</f>
        <v>3.3720355731225296E-2</v>
      </c>
      <c r="AA4">
        <f t="shared" ref="AA4:AB19" si="3">7*(L4/(SUM($K4:$M4)))</f>
        <v>1.2493824110671938</v>
      </c>
      <c r="AB4">
        <f t="shared" si="3"/>
        <v>5.7168972332015811</v>
      </c>
      <c r="AC4">
        <f>7*(N4/(SUM($N4:$P4)))</f>
        <v>3.5692078099738837E-2</v>
      </c>
      <c r="AD4">
        <f t="shared" ref="AD4:AE19" si="4">7*(O4/(SUM($N4:$P4)))</f>
        <v>1.2605397338639472</v>
      </c>
      <c r="AE4">
        <f t="shared" si="4"/>
        <v>5.7037681880363138</v>
      </c>
      <c r="AF4">
        <f>62*(B4/(SUM($B4:$D4)))</f>
        <v>0.30880338687585607</v>
      </c>
      <c r="AG4">
        <f t="shared" ref="AG4:AH19" si="5">62*(C4/(SUM($B4:$D4)))</f>
        <v>11.178682604905989</v>
      </c>
      <c r="AH4">
        <f t="shared" si="5"/>
        <v>50.512514008218155</v>
      </c>
      <c r="AI4">
        <f>62*(E4/(SUM($E4:$G4)))</f>
        <v>0.30598396051819865</v>
      </c>
      <c r="AJ4">
        <f t="shared" ref="AJ4:AK19" si="6">62*(F4/(SUM($E4:$G4)))</f>
        <v>11.130166563849475</v>
      </c>
      <c r="AK4">
        <f t="shared" si="6"/>
        <v>50.563849475632324</v>
      </c>
      <c r="AL4">
        <f>62*(H4/(SUM($H4:$J4)))</f>
        <v>0.29585219625596476</v>
      </c>
      <c r="AM4">
        <f t="shared" ref="AM4:AN19" si="7">62*(I4/(SUM($H4:$J4)))</f>
        <v>11.083078428973449</v>
      </c>
      <c r="AN4">
        <f t="shared" si="7"/>
        <v>50.621069374770585</v>
      </c>
      <c r="AO4">
        <f>62*(K4/(SUM($K4:$M4)))</f>
        <v>0.29866600790513831</v>
      </c>
      <c r="AP4">
        <f t="shared" ref="AP4:AQ19" si="8">62*(L4/(SUM($K4:$M4)))</f>
        <v>11.065958498023717</v>
      </c>
      <c r="AQ4">
        <f t="shared" si="8"/>
        <v>50.635375494071148</v>
      </c>
      <c r="AR4">
        <f>62*(N4/(SUM($N4:$P4)))</f>
        <v>0.31612983459768684</v>
      </c>
      <c r="AS4">
        <f t="shared" ref="AS4:AT19" si="9">62*(O4/(SUM($N4:$P4)))</f>
        <v>11.16478049993782</v>
      </c>
      <c r="AT4">
        <f t="shared" si="9"/>
        <v>50.519089665464499</v>
      </c>
      <c r="AU4">
        <f>6.2*(B4/(SUM($B4:$D4)))</f>
        <v>3.0880338687585607E-2</v>
      </c>
      <c r="AV4">
        <f t="shared" ref="AV4:AW4" si="10">6.2*(C4/(SUM($B4:$D4)))</f>
        <v>1.117868260490599</v>
      </c>
      <c r="AW4">
        <f t="shared" si="10"/>
        <v>5.0512514008218155</v>
      </c>
      <c r="AX4">
        <f>6.2*(E4/(SUM($E4:$G4)))</f>
        <v>3.0598396051819868E-2</v>
      </c>
      <c r="AY4">
        <f t="shared" ref="AY4:AZ19" si="11">6.2*(F4/(SUM($E4:$G4)))</f>
        <v>1.1130166563849475</v>
      </c>
      <c r="AZ4">
        <f t="shared" si="11"/>
        <v>5.0563849475632328</v>
      </c>
      <c r="BA4">
        <f>6.2*(H4/(SUM($H4:$J4)))</f>
        <v>2.9585219625596477E-2</v>
      </c>
      <c r="BB4">
        <f t="shared" ref="BB4:BC19" si="12">6.2*(I4/(SUM($H4:$J4)))</f>
        <v>1.108307842897345</v>
      </c>
      <c r="BC4">
        <f t="shared" si="12"/>
        <v>5.0621069374770586</v>
      </c>
      <c r="BD4">
        <f>6.2*(K4/(SUM($K4:$M4)))</f>
        <v>2.9866600790513835E-2</v>
      </c>
      <c r="BE4">
        <f t="shared" ref="BE4:BF19" si="13">6.2*(L4/(SUM($K4:$M4)))</f>
        <v>1.1065958498023716</v>
      </c>
      <c r="BF4">
        <f t="shared" si="13"/>
        <v>5.0635375494071146</v>
      </c>
      <c r="BG4">
        <f>6.2*(N4/(SUM($N4:$P4)))</f>
        <v>3.1612983459768686E-2</v>
      </c>
      <c r="BH4">
        <f t="shared" ref="BH4:BI19" si="14">6.2*(O4/(SUM($N4:$P4)))</f>
        <v>1.1164780499937819</v>
      </c>
      <c r="BI4">
        <f t="shared" si="14"/>
        <v>5.0519089665464501</v>
      </c>
      <c r="BJ4">
        <f>2800*(B4/(SUM($B4:$D4)))</f>
        <v>13.945959407296725</v>
      </c>
      <c r="BK4">
        <f t="shared" ref="BK4:BL19" si="15">2800*(C4/(SUM($B4:$D4)))</f>
        <v>504.84373054414141</v>
      </c>
      <c r="BL4">
        <f t="shared" si="15"/>
        <v>2281.210310048562</v>
      </c>
      <c r="BM4">
        <f>2800*(E4/(SUM($E4:$G4)))</f>
        <v>13.818630475015423</v>
      </c>
      <c r="BN4">
        <f t="shared" ref="BN4:BO19" si="16">2800*(F4/(SUM($E4:$G4)))</f>
        <v>502.652683528686</v>
      </c>
      <c r="BO4">
        <f t="shared" si="16"/>
        <v>2283.5286859962985</v>
      </c>
      <c r="BP4">
        <f>2800*(H4/(SUM($H4:$J4)))</f>
        <v>13.361066927688732</v>
      </c>
      <c r="BQ4">
        <f t="shared" ref="BQ4:BR19" si="17">2800*(I4/(SUM($H4:$J4)))</f>
        <v>500.52612259880095</v>
      </c>
      <c r="BR4">
        <f t="shared" si="17"/>
        <v>2286.1128104735103</v>
      </c>
      <c r="BS4">
        <f>2800*(K4/(SUM($K4:$M4)))</f>
        <v>13.488142292490119</v>
      </c>
      <c r="BT4">
        <f t="shared" ref="BT4:BU19" si="18">2800*(L4/(SUM($K4:$M4)))</f>
        <v>499.7529644268775</v>
      </c>
      <c r="BU4">
        <f t="shared" si="18"/>
        <v>2286.7588932806325</v>
      </c>
      <c r="BV4">
        <f>2800*(N4/(SUM($N4:$P4)))</f>
        <v>14.276831239895536</v>
      </c>
      <c r="BW4">
        <f t="shared" ref="BW4:BX19" si="19">2800*(O4/(SUM($N4:$P4)))</f>
        <v>504.21589354557892</v>
      </c>
      <c r="BX4">
        <f t="shared" si="19"/>
        <v>2281.5072752145256</v>
      </c>
    </row>
    <row r="5" spans="1:76" x14ac:dyDescent="0.35">
      <c r="A5">
        <v>2026</v>
      </c>
      <c r="B5" s="5">
        <f t="shared" ref="B5:D8" si="20">B4+((B$9-B$4)/5)</f>
        <v>40.4</v>
      </c>
      <c r="C5" s="5">
        <f t="shared" si="20"/>
        <v>1445.8</v>
      </c>
      <c r="D5" s="5">
        <f t="shared" si="20"/>
        <v>6590.2</v>
      </c>
      <c r="E5" s="5">
        <f>E4+((E$9-E$4)/5)</f>
        <v>40.200000000000003</v>
      </c>
      <c r="F5" s="5">
        <f t="shared" ref="F5:P8" si="21">F4+((F$9-F$4)/5)</f>
        <v>1454.2</v>
      </c>
      <c r="G5" s="5">
        <f t="shared" si="21"/>
        <v>6673.4</v>
      </c>
      <c r="H5" s="5">
        <f t="shared" si="21"/>
        <v>39</v>
      </c>
      <c r="I5" s="5">
        <f t="shared" si="21"/>
        <v>1461.4</v>
      </c>
      <c r="J5" s="5">
        <f t="shared" si="21"/>
        <v>6753.4</v>
      </c>
      <c r="K5" s="5">
        <f t="shared" si="21"/>
        <v>39.4</v>
      </c>
      <c r="L5" s="5">
        <f t="shared" si="21"/>
        <v>1441.8</v>
      </c>
      <c r="M5" s="5">
        <f t="shared" si="21"/>
        <v>6675.2</v>
      </c>
      <c r="N5" s="5">
        <f t="shared" si="21"/>
        <v>41.6</v>
      </c>
      <c r="O5" s="5">
        <f t="shared" si="21"/>
        <v>1445.8</v>
      </c>
      <c r="P5" s="5">
        <f t="shared" si="21"/>
        <v>6600.8</v>
      </c>
      <c r="Q5">
        <f t="shared" ref="Q5:Q68" si="22">7*(B5/(SUM($B5:$D5)))</f>
        <v>3.5015601010351144E-2</v>
      </c>
      <c r="R5">
        <f t="shared" ref="R5:S68" si="23">7*(C5/(SUM($B5:$D5)))</f>
        <v>1.2531078203159824</v>
      </c>
      <c r="S5">
        <f t="shared" si="23"/>
        <v>5.7118765786736665</v>
      </c>
      <c r="T5">
        <f t="shared" ref="T5:V68" si="24">7*(E5/(SUM($E5:$G5)))</f>
        <v>3.4452361713068397E-2</v>
      </c>
      <c r="U5">
        <f t="shared" si="1"/>
        <v>1.2462841891329368</v>
      </c>
      <c r="V5">
        <f t="shared" si="1"/>
        <v>5.7192634491539955</v>
      </c>
      <c r="W5">
        <f t="shared" ref="W5:Y68" si="25">7*(H5/(SUM($H5:$J5)))</f>
        <v>3.3075674234897871E-2</v>
      </c>
      <c r="X5">
        <f t="shared" si="2"/>
        <v>1.2394048801764037</v>
      </c>
      <c r="Y5">
        <f t="shared" si="2"/>
        <v>5.7275194455886984</v>
      </c>
      <c r="Z5">
        <f t="shared" ref="Z5:AB68" si="26">7*(K5/(SUM($K5:$M5)))</f>
        <v>3.3813937521455541E-2</v>
      </c>
      <c r="AA5">
        <f t="shared" si="3"/>
        <v>1.237384140061792</v>
      </c>
      <c r="AB5">
        <f t="shared" si="3"/>
        <v>5.7288019224167526</v>
      </c>
      <c r="AC5">
        <f t="shared" ref="AC5:AE68" si="27">7*(N5/(SUM($N5:$P5)))</f>
        <v>3.6003066195197941E-2</v>
      </c>
      <c r="AD5">
        <f t="shared" si="4"/>
        <v>1.2512796419475285</v>
      </c>
      <c r="AE5">
        <f t="shared" si="4"/>
        <v>5.7127172918572739</v>
      </c>
      <c r="AF5">
        <f t="shared" ref="AF5:AH68" si="28">62*(B5/(SUM($B5:$D5)))</f>
        <v>0.31013818037739588</v>
      </c>
      <c r="AG5">
        <f t="shared" si="5"/>
        <v>11.09895497994156</v>
      </c>
      <c r="AH5">
        <f t="shared" si="5"/>
        <v>50.590906839681047</v>
      </c>
      <c r="AI5">
        <f t="shared" ref="AI5:AK68" si="29">62*(E5/(SUM($E5:$G5)))</f>
        <v>0.30514948945860576</v>
      </c>
      <c r="AJ5">
        <f t="shared" si="6"/>
        <v>11.038517103748868</v>
      </c>
      <c r="AK5">
        <f t="shared" si="6"/>
        <v>50.656333406792527</v>
      </c>
      <c r="AL5">
        <f t="shared" ref="AL5:AN68" si="30">62*(H5/(SUM($H5:$J5)))</f>
        <v>0.2929559717948097</v>
      </c>
      <c r="AM5">
        <f t="shared" si="7"/>
        <v>10.977586081562432</v>
      </c>
      <c r="AN5">
        <f t="shared" si="7"/>
        <v>50.729457946642761</v>
      </c>
      <c r="AO5">
        <f t="shared" ref="AO5:AQ68" si="31">62*(K5/(SUM($K5:$M5)))</f>
        <v>0.29949487519003481</v>
      </c>
      <c r="AP5">
        <f t="shared" si="8"/>
        <v>10.959688097690156</v>
      </c>
      <c r="AQ5">
        <f t="shared" si="8"/>
        <v>50.74081702711981</v>
      </c>
      <c r="AR5">
        <f t="shared" ref="AR5:AT68" si="32">62*(N5/(SUM($N5:$P5)))</f>
        <v>0.31888430058603895</v>
      </c>
      <c r="AS5">
        <f t="shared" si="9"/>
        <v>11.082762542963824</v>
      </c>
      <c r="AT5">
        <f t="shared" si="9"/>
        <v>50.598353156450138</v>
      </c>
      <c r="AU5">
        <f t="shared" ref="AU5:AW68" si="33">6.2*(B5/(SUM($B5:$D5)))</f>
        <v>3.1013818037739588E-2</v>
      </c>
      <c r="AV5">
        <f t="shared" si="33"/>
        <v>1.109895497994156</v>
      </c>
      <c r="AW5">
        <f t="shared" si="33"/>
        <v>5.0590906839681047</v>
      </c>
      <c r="AX5">
        <f t="shared" ref="AX5:AZ68" si="34">6.2*(E5/(SUM($E5:$G5)))</f>
        <v>3.0514948945860581E-2</v>
      </c>
      <c r="AY5">
        <f t="shared" si="11"/>
        <v>1.1038517103748868</v>
      </c>
      <c r="AZ5">
        <f t="shared" si="11"/>
        <v>5.0656333406792529</v>
      </c>
      <c r="BA5">
        <f t="shared" ref="BA5:BC68" si="35">6.2*(H5/(SUM($H5:$J5)))</f>
        <v>2.9295597179480971E-2</v>
      </c>
      <c r="BB5">
        <f t="shared" si="12"/>
        <v>1.0977586081562434</v>
      </c>
      <c r="BC5">
        <f t="shared" si="12"/>
        <v>5.0729457946642764</v>
      </c>
      <c r="BD5">
        <f t="shared" ref="BD5:BF68" si="36">6.2*(K5/(SUM($K5:$M5)))</f>
        <v>2.9949487519003483E-2</v>
      </c>
      <c r="BE5">
        <f t="shared" si="13"/>
        <v>1.0959688097690157</v>
      </c>
      <c r="BF5">
        <f t="shared" si="13"/>
        <v>5.0740817027119807</v>
      </c>
      <c r="BG5">
        <f t="shared" ref="BG5:BI68" si="37">6.2*(N5/(SUM($N5:$P5)))</f>
        <v>3.1888430058603895E-2</v>
      </c>
      <c r="BH5">
        <f t="shared" si="14"/>
        <v>1.1082762542963824</v>
      </c>
      <c r="BI5">
        <f t="shared" si="14"/>
        <v>5.0598353156450138</v>
      </c>
      <c r="BJ5">
        <f t="shared" ref="BJ5:BJ68" si="38">2800*(B5/(SUM($B5:$D5)))</f>
        <v>14.006240404140458</v>
      </c>
      <c r="BK5">
        <f t="shared" si="15"/>
        <v>501.243128126393</v>
      </c>
      <c r="BL5">
        <f t="shared" ref="BL5:BL68" si="39">2800*(D5/(SUM($B5:$D5)))</f>
        <v>2284.7506314694665</v>
      </c>
      <c r="BM5">
        <f t="shared" ref="BM5:BO68" si="40">2800*(E5/(SUM($E5:$G5)))</f>
        <v>13.780944685227357</v>
      </c>
      <c r="BN5">
        <f t="shared" si="16"/>
        <v>498.51367565317469</v>
      </c>
      <c r="BO5">
        <f t="shared" si="16"/>
        <v>2287.7053796615983</v>
      </c>
      <c r="BP5">
        <f t="shared" ref="BP5:BR68" si="41">2800*(H5/(SUM($H5:$J5)))</f>
        <v>13.230269693959148</v>
      </c>
      <c r="BQ5">
        <f t="shared" si="17"/>
        <v>495.76195207056151</v>
      </c>
      <c r="BR5">
        <f t="shared" si="17"/>
        <v>2291.0077782354792</v>
      </c>
      <c r="BS5">
        <f t="shared" ref="BS5:BU68" si="42">2800*(K5/(SUM($K5:$M5)))</f>
        <v>13.525575008582218</v>
      </c>
      <c r="BT5">
        <f t="shared" si="18"/>
        <v>494.95365602471679</v>
      </c>
      <c r="BU5">
        <f t="shared" si="18"/>
        <v>2291.5207689667009</v>
      </c>
      <c r="BV5">
        <f t="shared" ref="BV5:BX68" si="43">2800*(N5/(SUM($N5:$P5)))</f>
        <v>14.401226478079177</v>
      </c>
      <c r="BW5">
        <f t="shared" si="19"/>
        <v>500.5118567790114</v>
      </c>
      <c r="BX5">
        <f t="shared" si="19"/>
        <v>2285.0869167429096</v>
      </c>
    </row>
    <row r="6" spans="1:76" x14ac:dyDescent="0.35">
      <c r="A6">
        <v>2027</v>
      </c>
      <c r="B6" s="5">
        <f t="shared" si="20"/>
        <v>40.799999999999997</v>
      </c>
      <c r="C6" s="5">
        <f t="shared" si="20"/>
        <v>1443.6</v>
      </c>
      <c r="D6" s="5">
        <f t="shared" si="20"/>
        <v>6637.4</v>
      </c>
      <c r="E6" s="5">
        <f>E5+((E$9-E$4)/5)</f>
        <v>40.400000000000006</v>
      </c>
      <c r="F6" s="5">
        <f t="shared" si="21"/>
        <v>1453.4</v>
      </c>
      <c r="G6" s="5">
        <f t="shared" si="21"/>
        <v>6736.7999999999993</v>
      </c>
      <c r="H6" s="5">
        <f t="shared" si="21"/>
        <v>39</v>
      </c>
      <c r="I6" s="5">
        <f t="shared" si="21"/>
        <v>1461.8000000000002</v>
      </c>
      <c r="J6" s="5">
        <f t="shared" si="21"/>
        <v>6833.7999999999993</v>
      </c>
      <c r="K6" s="5">
        <f t="shared" si="21"/>
        <v>39.799999999999997</v>
      </c>
      <c r="L6" s="5">
        <f t="shared" si="21"/>
        <v>1438.6</v>
      </c>
      <c r="M6" s="5">
        <f t="shared" si="21"/>
        <v>6738.4</v>
      </c>
      <c r="N6" s="5">
        <f t="shared" si="21"/>
        <v>42.2</v>
      </c>
      <c r="O6" s="5">
        <f t="shared" si="21"/>
        <v>1443.6</v>
      </c>
      <c r="P6" s="5">
        <f t="shared" si="21"/>
        <v>6649.6</v>
      </c>
      <c r="Q6">
        <f t="shared" si="22"/>
        <v>3.5164618680588046E-2</v>
      </c>
      <c r="R6">
        <f t="shared" si="23"/>
        <v>1.2442069491984535</v>
      </c>
      <c r="S6">
        <f t="shared" si="23"/>
        <v>5.7206284321209591</v>
      </c>
      <c r="T6">
        <f t="shared" si="24"/>
        <v>3.4359584963429168E-2</v>
      </c>
      <c r="U6">
        <f t="shared" si="1"/>
        <v>1.2360945739071272</v>
      </c>
      <c r="V6">
        <f t="shared" si="1"/>
        <v>5.7295458411294442</v>
      </c>
      <c r="W6">
        <f t="shared" si="25"/>
        <v>3.2755021236772021E-2</v>
      </c>
      <c r="X6">
        <f t="shared" si="2"/>
        <v>1.2277253857413677</v>
      </c>
      <c r="Y6">
        <f t="shared" si="2"/>
        <v>5.7395195930218605</v>
      </c>
      <c r="Z6">
        <f t="shared" si="26"/>
        <v>3.3906143510855809E-2</v>
      </c>
      <c r="AA6">
        <f t="shared" si="3"/>
        <v>1.2255622626813358</v>
      </c>
      <c r="AB6">
        <f t="shared" si="3"/>
        <v>5.740531593807809</v>
      </c>
      <c r="AC6">
        <f t="shared" si="27"/>
        <v>3.6310445706418858E-2</v>
      </c>
      <c r="AD6">
        <f t="shared" si="4"/>
        <v>1.2421270005162621</v>
      </c>
      <c r="AE6">
        <f t="shared" si="4"/>
        <v>5.7215625537773187</v>
      </c>
      <c r="AF6">
        <f t="shared" si="28"/>
        <v>0.31145805117092268</v>
      </c>
      <c r="AG6">
        <f t="shared" si="5"/>
        <v>11.020118692900589</v>
      </c>
      <c r="AH6">
        <f t="shared" si="5"/>
        <v>50.668423255928488</v>
      </c>
      <c r="AI6">
        <f t="shared" si="29"/>
        <v>0.30432775253322975</v>
      </c>
      <c r="AJ6">
        <f t="shared" si="6"/>
        <v>10.948266226034557</v>
      </c>
      <c r="AK6">
        <f t="shared" si="6"/>
        <v>50.747406021432219</v>
      </c>
      <c r="AL6">
        <f t="shared" si="30"/>
        <v>0.29011590238283785</v>
      </c>
      <c r="AM6">
        <f t="shared" si="7"/>
        <v>10.874139130852114</v>
      </c>
      <c r="AN6">
        <f t="shared" si="7"/>
        <v>50.835744966765056</v>
      </c>
      <c r="AO6">
        <f t="shared" si="31"/>
        <v>0.3003115568104372</v>
      </c>
      <c r="AP6">
        <f t="shared" si="8"/>
        <v>10.854980040891832</v>
      </c>
      <c r="AQ6">
        <f t="shared" si="8"/>
        <v>50.844708402297734</v>
      </c>
      <c r="AR6">
        <f t="shared" si="32"/>
        <v>0.32160680482828136</v>
      </c>
      <c r="AS6">
        <f t="shared" si="9"/>
        <v>11.001696290286894</v>
      </c>
      <c r="AT6">
        <f t="shared" si="9"/>
        <v>50.676696904884821</v>
      </c>
      <c r="AU6">
        <f t="shared" si="33"/>
        <v>3.1145805117092269E-2</v>
      </c>
      <c r="AV6">
        <f t="shared" si="33"/>
        <v>1.1020118692900589</v>
      </c>
      <c r="AW6">
        <f t="shared" si="33"/>
        <v>5.066842325592849</v>
      </c>
      <c r="AX6">
        <f t="shared" si="34"/>
        <v>3.0432775253322976E-2</v>
      </c>
      <c r="AY6">
        <f t="shared" si="11"/>
        <v>1.0948266226034555</v>
      </c>
      <c r="AZ6">
        <f t="shared" si="11"/>
        <v>5.0747406021432218</v>
      </c>
      <c r="BA6">
        <f t="shared" si="35"/>
        <v>2.9011590238283789E-2</v>
      </c>
      <c r="BB6">
        <f t="shared" si="12"/>
        <v>1.0874139130852114</v>
      </c>
      <c r="BC6">
        <f t="shared" si="12"/>
        <v>5.0835744966765057</v>
      </c>
      <c r="BD6">
        <f t="shared" si="36"/>
        <v>3.0031155681043718E-2</v>
      </c>
      <c r="BE6">
        <f t="shared" si="13"/>
        <v>1.0854980040891831</v>
      </c>
      <c r="BF6">
        <f t="shared" si="13"/>
        <v>5.0844708402297734</v>
      </c>
      <c r="BG6">
        <f t="shared" si="37"/>
        <v>3.2160680482828136E-2</v>
      </c>
      <c r="BH6">
        <f t="shared" si="14"/>
        <v>1.1001696290286893</v>
      </c>
      <c r="BI6">
        <f t="shared" si="14"/>
        <v>5.0676696904884828</v>
      </c>
      <c r="BJ6">
        <f t="shared" si="38"/>
        <v>14.065847472235218</v>
      </c>
      <c r="BK6">
        <f t="shared" si="15"/>
        <v>497.68277967938138</v>
      </c>
      <c r="BL6">
        <f t="shared" si="39"/>
        <v>2288.2513728483837</v>
      </c>
      <c r="BM6">
        <f t="shared" si="40"/>
        <v>13.743833985371666</v>
      </c>
      <c r="BN6">
        <f t="shared" si="16"/>
        <v>494.43782956285094</v>
      </c>
      <c r="BO6">
        <f t="shared" si="16"/>
        <v>2291.8183364517777</v>
      </c>
      <c r="BP6">
        <f t="shared" si="41"/>
        <v>13.102008494708807</v>
      </c>
      <c r="BQ6">
        <f t="shared" si="17"/>
        <v>491.0901542965471</v>
      </c>
      <c r="BR6">
        <f t="shared" si="17"/>
        <v>2295.8078372087443</v>
      </c>
      <c r="BS6">
        <f t="shared" si="42"/>
        <v>13.562457404342323</v>
      </c>
      <c r="BT6">
        <f t="shared" si="18"/>
        <v>490.22490507253428</v>
      </c>
      <c r="BU6">
        <f t="shared" si="18"/>
        <v>2296.2126375231232</v>
      </c>
      <c r="BV6">
        <f t="shared" si="43"/>
        <v>14.524178282567544</v>
      </c>
      <c r="BW6">
        <f t="shared" si="19"/>
        <v>496.85080020650486</v>
      </c>
      <c r="BX6">
        <f t="shared" si="19"/>
        <v>2288.6250215109276</v>
      </c>
    </row>
    <row r="7" spans="1:76" x14ac:dyDescent="0.35">
      <c r="A7">
        <v>2028</v>
      </c>
      <c r="B7" s="5">
        <f t="shared" si="20"/>
        <v>41.199999999999996</v>
      </c>
      <c r="C7" s="5">
        <f t="shared" si="20"/>
        <v>1441.3999999999999</v>
      </c>
      <c r="D7" s="5">
        <f t="shared" si="20"/>
        <v>6684.5999999999995</v>
      </c>
      <c r="E7" s="5">
        <f>E6+((E$9-E$4)/5)</f>
        <v>40.600000000000009</v>
      </c>
      <c r="F7" s="5">
        <f t="shared" si="21"/>
        <v>1452.6000000000001</v>
      </c>
      <c r="G7" s="5">
        <f t="shared" si="21"/>
        <v>6800.1999999999989</v>
      </c>
      <c r="H7" s="5">
        <f t="shared" si="21"/>
        <v>39</v>
      </c>
      <c r="I7" s="5">
        <f t="shared" si="21"/>
        <v>1462.2000000000003</v>
      </c>
      <c r="J7" s="5">
        <f t="shared" si="21"/>
        <v>6914.1999999999989</v>
      </c>
      <c r="K7" s="5">
        <f t="shared" si="21"/>
        <v>40.199999999999996</v>
      </c>
      <c r="L7" s="5">
        <f t="shared" si="21"/>
        <v>1435.3999999999999</v>
      </c>
      <c r="M7" s="5">
        <f t="shared" si="21"/>
        <v>6801.5999999999995</v>
      </c>
      <c r="N7" s="5">
        <f t="shared" si="21"/>
        <v>42.800000000000004</v>
      </c>
      <c r="O7" s="5">
        <f t="shared" si="21"/>
        <v>1441.3999999999999</v>
      </c>
      <c r="P7" s="5">
        <f t="shared" si="21"/>
        <v>6698.4000000000005</v>
      </c>
      <c r="Q7">
        <f t="shared" si="22"/>
        <v>3.5311979625820354E-2</v>
      </c>
      <c r="R7">
        <f t="shared" si="23"/>
        <v>1.2354050347732395</v>
      </c>
      <c r="S7">
        <f t="shared" si="23"/>
        <v>5.7292829856009408</v>
      </c>
      <c r="T7">
        <f t="shared" si="24"/>
        <v>3.4268213278028321E-2</v>
      </c>
      <c r="U7">
        <f t="shared" si="1"/>
        <v>1.2260592760508358</v>
      </c>
      <c r="V7">
        <f t="shared" si="1"/>
        <v>5.7396725106711353</v>
      </c>
      <c r="W7">
        <f t="shared" si="25"/>
        <v>3.2440525702878059E-2</v>
      </c>
      <c r="X7">
        <f t="shared" si="2"/>
        <v>1.2162701713525208</v>
      </c>
      <c r="Y7">
        <f t="shared" si="2"/>
        <v>5.7512893029446008</v>
      </c>
      <c r="Z7">
        <f t="shared" si="26"/>
        <v>3.3997003817716136E-2</v>
      </c>
      <c r="AA7">
        <f t="shared" si="3"/>
        <v>1.2139129174116852</v>
      </c>
      <c r="AB7">
        <f t="shared" si="3"/>
        <v>5.7520900787705989</v>
      </c>
      <c r="AC7">
        <f t="shared" si="27"/>
        <v>3.6614279079999028E-2</v>
      </c>
      <c r="AD7">
        <f t="shared" si="4"/>
        <v>1.2330799501380978</v>
      </c>
      <c r="AE7">
        <f t="shared" si="4"/>
        <v>5.7303057707819036</v>
      </c>
      <c r="AF7">
        <f t="shared" si="28"/>
        <v>0.31276324811440886</v>
      </c>
      <c r="AG7">
        <f t="shared" si="5"/>
        <v>10.94215887942012</v>
      </c>
      <c r="AH7">
        <f t="shared" si="5"/>
        <v>50.745077872465473</v>
      </c>
      <c r="AI7">
        <f t="shared" si="29"/>
        <v>0.30351846046253655</v>
      </c>
      <c r="AJ7">
        <f t="shared" si="6"/>
        <v>10.859382159307401</v>
      </c>
      <c r="AK7">
        <f t="shared" si="6"/>
        <v>50.837099380230057</v>
      </c>
      <c r="AL7">
        <f t="shared" si="30"/>
        <v>0.28733037051120563</v>
      </c>
      <c r="AM7">
        <f t="shared" si="7"/>
        <v>10.772678660550898</v>
      </c>
      <c r="AN7">
        <f t="shared" si="7"/>
        <v>50.939990968937892</v>
      </c>
      <c r="AO7">
        <f t="shared" si="31"/>
        <v>0.30111631952834289</v>
      </c>
      <c r="AP7">
        <f t="shared" si="8"/>
        <v>10.751800125646355</v>
      </c>
      <c r="AQ7">
        <f t="shared" si="8"/>
        <v>50.947083554825305</v>
      </c>
      <c r="AR7">
        <f t="shared" si="32"/>
        <v>0.32429790042284851</v>
      </c>
      <c r="AS7">
        <f t="shared" si="9"/>
        <v>10.921565272651723</v>
      </c>
      <c r="AT7">
        <f t="shared" si="9"/>
        <v>50.754136826925432</v>
      </c>
      <c r="AU7">
        <f t="shared" si="33"/>
        <v>3.1276324811440888E-2</v>
      </c>
      <c r="AV7">
        <f t="shared" si="33"/>
        <v>1.0942158879420121</v>
      </c>
      <c r="AW7">
        <f t="shared" si="33"/>
        <v>5.0745077872465476</v>
      </c>
      <c r="AX7">
        <f t="shared" si="34"/>
        <v>3.0351846046253655E-2</v>
      </c>
      <c r="AY7">
        <f t="shared" si="11"/>
        <v>1.0859382159307402</v>
      </c>
      <c r="AZ7">
        <f t="shared" si="11"/>
        <v>5.0837099380230057</v>
      </c>
      <c r="BA7">
        <f t="shared" si="35"/>
        <v>2.8733037051120566E-2</v>
      </c>
      <c r="BB7">
        <f t="shared" si="12"/>
        <v>1.0772678660550898</v>
      </c>
      <c r="BC7">
        <f t="shared" si="12"/>
        <v>5.0939990968937892</v>
      </c>
      <c r="BD7">
        <f t="shared" si="36"/>
        <v>3.011163195283429E-2</v>
      </c>
      <c r="BE7">
        <f t="shared" si="13"/>
        <v>1.0751800125646356</v>
      </c>
      <c r="BF7">
        <f t="shared" si="13"/>
        <v>5.0947083554825303</v>
      </c>
      <c r="BG7">
        <f t="shared" si="37"/>
        <v>3.2429790042284849E-2</v>
      </c>
      <c r="BH7">
        <f t="shared" si="14"/>
        <v>1.0921565272651723</v>
      </c>
      <c r="BI7">
        <f t="shared" si="14"/>
        <v>5.0754136826925436</v>
      </c>
      <c r="BJ7">
        <f t="shared" si="38"/>
        <v>14.124791850328142</v>
      </c>
      <c r="BK7">
        <f t="shared" si="15"/>
        <v>494.16201390929575</v>
      </c>
      <c r="BL7">
        <f t="shared" si="39"/>
        <v>2291.7131942403762</v>
      </c>
      <c r="BM7">
        <f t="shared" si="40"/>
        <v>13.707285311211328</v>
      </c>
      <c r="BN7">
        <f t="shared" si="16"/>
        <v>490.42371042033426</v>
      </c>
      <c r="BO7">
        <f t="shared" si="16"/>
        <v>2295.8690042684543</v>
      </c>
      <c r="BP7">
        <f t="shared" si="41"/>
        <v>12.976210281151223</v>
      </c>
      <c r="BQ7">
        <f t="shared" si="17"/>
        <v>486.5080685410083</v>
      </c>
      <c r="BR7">
        <f t="shared" si="17"/>
        <v>2300.5157211778401</v>
      </c>
      <c r="BS7">
        <f t="shared" si="42"/>
        <v>13.598801527086454</v>
      </c>
      <c r="BT7">
        <f t="shared" si="18"/>
        <v>485.56516696467412</v>
      </c>
      <c r="BU7">
        <f t="shared" si="18"/>
        <v>2300.8360315082396</v>
      </c>
      <c r="BV7">
        <f t="shared" si="43"/>
        <v>14.64571163199961</v>
      </c>
      <c r="BW7">
        <f t="shared" si="19"/>
        <v>493.23198005523909</v>
      </c>
      <c r="BX7">
        <f t="shared" si="19"/>
        <v>2292.1223083127616</v>
      </c>
    </row>
    <row r="8" spans="1:76" x14ac:dyDescent="0.35">
      <c r="A8">
        <v>2029</v>
      </c>
      <c r="B8" s="5">
        <f t="shared" si="20"/>
        <v>41.599999999999994</v>
      </c>
      <c r="C8" s="5">
        <f t="shared" si="20"/>
        <v>1439.1999999999998</v>
      </c>
      <c r="D8" s="5">
        <f t="shared" si="20"/>
        <v>6731.7999999999993</v>
      </c>
      <c r="E8" s="5">
        <f>E7+((E$9-E$4)/5)</f>
        <v>40.800000000000011</v>
      </c>
      <c r="F8" s="5">
        <f t="shared" si="21"/>
        <v>1451.8000000000002</v>
      </c>
      <c r="G8" s="5">
        <f t="shared" si="21"/>
        <v>6863.5999999999985</v>
      </c>
      <c r="H8" s="5">
        <f t="shared" si="21"/>
        <v>39</v>
      </c>
      <c r="I8" s="5">
        <f t="shared" si="21"/>
        <v>1462.6000000000004</v>
      </c>
      <c r="J8" s="5">
        <f t="shared" si="21"/>
        <v>6994.5999999999985</v>
      </c>
      <c r="K8" s="5">
        <f t="shared" si="21"/>
        <v>40.599999999999994</v>
      </c>
      <c r="L8" s="5">
        <f t="shared" si="21"/>
        <v>1432.1999999999998</v>
      </c>
      <c r="M8" s="5">
        <f t="shared" si="21"/>
        <v>6864.7999999999993</v>
      </c>
      <c r="N8" s="5">
        <f t="shared" si="21"/>
        <v>43.400000000000006</v>
      </c>
      <c r="O8" s="5">
        <f t="shared" si="21"/>
        <v>1439.1999999999998</v>
      </c>
      <c r="P8" s="5">
        <f t="shared" si="21"/>
        <v>6747.2000000000007</v>
      </c>
      <c r="Q8">
        <f t="shared" si="22"/>
        <v>3.5457711321627741E-2</v>
      </c>
      <c r="R8">
        <f t="shared" si="23"/>
        <v>1.2267004359155445</v>
      </c>
      <c r="S8">
        <f t="shared" si="23"/>
        <v>5.7378418527628279</v>
      </c>
      <c r="T8">
        <f t="shared" si="24"/>
        <v>3.4178214978100106E-2</v>
      </c>
      <c r="U8">
        <f t="shared" si="1"/>
        <v>1.216174816304062</v>
      </c>
      <c r="V8">
        <f t="shared" si="1"/>
        <v>5.7496469687178378</v>
      </c>
      <c r="W8">
        <f t="shared" si="25"/>
        <v>3.2132011958287236E-2</v>
      </c>
      <c r="X8">
        <f t="shared" si="2"/>
        <v>1.2050328382100237</v>
      </c>
      <c r="Y8">
        <f t="shared" si="2"/>
        <v>5.7628351498316892</v>
      </c>
      <c r="Z8">
        <f t="shared" si="26"/>
        <v>3.4086547687583957E-2</v>
      </c>
      <c r="AA8">
        <f t="shared" si="3"/>
        <v>1.2024323546344271</v>
      </c>
      <c r="AB8">
        <f t="shared" si="3"/>
        <v>5.7634810976779889</v>
      </c>
      <c r="AC8">
        <f t="shared" si="27"/>
        <v>3.6914627329947269E-2</v>
      </c>
      <c r="AD8">
        <f t="shared" si="4"/>
        <v>1.2241366740382509</v>
      </c>
      <c r="AE8">
        <f t="shared" si="4"/>
        <v>5.7389486986318019</v>
      </c>
      <c r="AF8">
        <f t="shared" si="28"/>
        <v>0.31405401456298854</v>
      </c>
      <c r="AG8">
        <f t="shared" si="5"/>
        <v>10.865061003823394</v>
      </c>
      <c r="AH8">
        <f t="shared" si="5"/>
        <v>50.820884981613617</v>
      </c>
      <c r="AI8">
        <f t="shared" si="29"/>
        <v>0.30272133266317242</v>
      </c>
      <c r="AJ8">
        <f t="shared" si="6"/>
        <v>10.771834087264549</v>
      </c>
      <c r="AK8">
        <f t="shared" si="6"/>
        <v>50.925444580072281</v>
      </c>
      <c r="AL8">
        <f t="shared" si="30"/>
        <v>0.28459782020197266</v>
      </c>
      <c r="AM8">
        <f t="shared" si="7"/>
        <v>10.673147995574496</v>
      </c>
      <c r="AN8">
        <f t="shared" si="7"/>
        <v>51.04225418422353</v>
      </c>
      <c r="AO8">
        <f t="shared" si="31"/>
        <v>0.30190942237574364</v>
      </c>
      <c r="AP8">
        <f t="shared" si="8"/>
        <v>10.650115141047785</v>
      </c>
      <c r="AQ8">
        <f t="shared" si="8"/>
        <v>51.047975436576472</v>
      </c>
      <c r="AR8">
        <f t="shared" si="32"/>
        <v>0.32695812777953293</v>
      </c>
      <c r="AS8">
        <f t="shared" si="9"/>
        <v>10.842353398624509</v>
      </c>
      <c r="AT8">
        <f t="shared" si="9"/>
        <v>50.830688473595956</v>
      </c>
      <c r="AU8">
        <f t="shared" si="33"/>
        <v>3.1405401456298859E-2</v>
      </c>
      <c r="AV8">
        <f t="shared" si="33"/>
        <v>1.0865061003823395</v>
      </c>
      <c r="AW8">
        <f t="shared" si="33"/>
        <v>5.0820884981613617</v>
      </c>
      <c r="AX8">
        <f t="shared" si="34"/>
        <v>3.0272133266317239E-2</v>
      </c>
      <c r="AY8">
        <f t="shared" si="11"/>
        <v>1.0771834087264549</v>
      </c>
      <c r="AZ8">
        <f t="shared" si="11"/>
        <v>5.0925444580072279</v>
      </c>
      <c r="BA8">
        <f t="shared" si="35"/>
        <v>2.845978202019727E-2</v>
      </c>
      <c r="BB8">
        <f t="shared" si="12"/>
        <v>1.0673147995574497</v>
      </c>
      <c r="BC8">
        <f t="shared" si="12"/>
        <v>5.1042254184223532</v>
      </c>
      <c r="BD8">
        <f t="shared" si="36"/>
        <v>3.0190942237574365E-2</v>
      </c>
      <c r="BE8">
        <f t="shared" si="13"/>
        <v>1.0650115141047785</v>
      </c>
      <c r="BF8">
        <f t="shared" si="13"/>
        <v>5.1047975436576474</v>
      </c>
      <c r="BG8">
        <f t="shared" si="37"/>
        <v>3.2695812777953297E-2</v>
      </c>
      <c r="BH8">
        <f t="shared" si="14"/>
        <v>1.0842353398624509</v>
      </c>
      <c r="BI8">
        <f t="shared" si="14"/>
        <v>5.0830688473595957</v>
      </c>
      <c r="BJ8">
        <f t="shared" si="38"/>
        <v>14.183084528651097</v>
      </c>
      <c r="BK8">
        <f t="shared" si="15"/>
        <v>490.68017436621778</v>
      </c>
      <c r="BL8">
        <f t="shared" si="39"/>
        <v>2295.136741105131</v>
      </c>
      <c r="BM8">
        <f t="shared" si="40"/>
        <v>13.671285991240044</v>
      </c>
      <c r="BN8">
        <f t="shared" si="16"/>
        <v>486.46992652162481</v>
      </c>
      <c r="BO8">
        <f t="shared" si="16"/>
        <v>2299.858787487135</v>
      </c>
      <c r="BP8">
        <f t="shared" si="41"/>
        <v>12.852804783314895</v>
      </c>
      <c r="BQ8">
        <f t="shared" si="17"/>
        <v>482.01313528400954</v>
      </c>
      <c r="BR8">
        <f t="shared" si="17"/>
        <v>2305.1340599326754</v>
      </c>
      <c r="BS8">
        <f t="shared" si="42"/>
        <v>13.634619075033584</v>
      </c>
      <c r="BT8">
        <f t="shared" si="18"/>
        <v>480.97294185377086</v>
      </c>
      <c r="BU8">
        <f t="shared" si="18"/>
        <v>2305.3924390711954</v>
      </c>
      <c r="BV8">
        <f t="shared" si="43"/>
        <v>14.765850931978907</v>
      </c>
      <c r="BW8">
        <f t="shared" si="19"/>
        <v>489.65466961530035</v>
      </c>
      <c r="BX8">
        <f t="shared" si="19"/>
        <v>2295.5794794527205</v>
      </c>
    </row>
    <row r="9" spans="1:76" x14ac:dyDescent="0.35">
      <c r="A9">
        <v>2030</v>
      </c>
      <c r="B9" s="5">
        <v>42</v>
      </c>
      <c r="C9" s="5">
        <v>1437</v>
      </c>
      <c r="D9" s="5">
        <v>6779</v>
      </c>
      <c r="E9" s="5">
        <v>41</v>
      </c>
      <c r="F9" s="5">
        <v>1451</v>
      </c>
      <c r="G9" s="5">
        <v>6927</v>
      </c>
      <c r="H9" s="5">
        <v>39</v>
      </c>
      <c r="I9" s="5">
        <v>1463</v>
      </c>
      <c r="J9" s="5">
        <v>7075</v>
      </c>
      <c r="K9" s="5">
        <v>41</v>
      </c>
      <c r="L9" s="5">
        <v>1429</v>
      </c>
      <c r="M9" s="5">
        <v>6928</v>
      </c>
      <c r="N9" s="5">
        <v>44</v>
      </c>
      <c r="O9" s="5">
        <v>1437</v>
      </c>
      <c r="P9" s="5">
        <v>6796</v>
      </c>
      <c r="Q9">
        <f t="shared" si="22"/>
        <v>3.5601840639379996E-2</v>
      </c>
      <c r="R9">
        <f t="shared" si="23"/>
        <v>1.2180915475902157</v>
      </c>
      <c r="S9">
        <f t="shared" si="23"/>
        <v>5.7463066117704038</v>
      </c>
      <c r="T9">
        <f t="shared" si="24"/>
        <v>3.4089559330086713E-2</v>
      </c>
      <c r="U9">
        <f t="shared" si="1"/>
        <v>1.2064378192184346</v>
      </c>
      <c r="V9">
        <f t="shared" si="1"/>
        <v>5.7594726214514793</v>
      </c>
      <c r="W9">
        <f t="shared" si="25"/>
        <v>3.1829310947883875E-2</v>
      </c>
      <c r="X9">
        <f t="shared" si="2"/>
        <v>1.1940072286347208</v>
      </c>
      <c r="Y9">
        <f t="shared" si="2"/>
        <v>5.7741634604173955</v>
      </c>
      <c r="Z9">
        <f t="shared" si="26"/>
        <v>3.4174803524648724E-2</v>
      </c>
      <c r="AA9">
        <f t="shared" si="3"/>
        <v>1.1911169326030007</v>
      </c>
      <c r="AB9">
        <f t="shared" si="3"/>
        <v>5.774708263872351</v>
      </c>
      <c r="AC9">
        <f t="shared" si="27"/>
        <v>3.7211550078530872E-2</v>
      </c>
      <c r="AD9">
        <f t="shared" si="4"/>
        <v>1.2152953968829285</v>
      </c>
      <c r="AE9">
        <f t="shared" si="4"/>
        <v>5.7474930530385411</v>
      </c>
      <c r="AF9">
        <f t="shared" si="28"/>
        <v>0.31533058852022278</v>
      </c>
      <c r="AG9">
        <f t="shared" si="5"/>
        <v>10.788810850084767</v>
      </c>
      <c r="AH9">
        <f t="shared" si="5"/>
        <v>50.895858561395009</v>
      </c>
      <c r="AI9">
        <f t="shared" si="29"/>
        <v>0.30193609692362516</v>
      </c>
      <c r="AJ9">
        <f t="shared" si="6"/>
        <v>10.685592113077563</v>
      </c>
      <c r="AK9">
        <f t="shared" si="6"/>
        <v>51.012471789998813</v>
      </c>
      <c r="AL9">
        <f t="shared" si="30"/>
        <v>0.28191675410982858</v>
      </c>
      <c r="AM9">
        <f t="shared" si="7"/>
        <v>10.575492596478956</v>
      </c>
      <c r="AN9">
        <f t="shared" si="7"/>
        <v>51.142590649411211</v>
      </c>
      <c r="AO9">
        <f t="shared" si="31"/>
        <v>0.30269111693260298</v>
      </c>
      <c r="AP9">
        <f t="shared" si="8"/>
        <v>10.549892831626579</v>
      </c>
      <c r="AQ9">
        <f t="shared" si="8"/>
        <v>51.147416051440821</v>
      </c>
      <c r="AR9">
        <f t="shared" si="32"/>
        <v>0.32958801498127344</v>
      </c>
      <c r="AS9">
        <f t="shared" si="9"/>
        <v>10.764044943820224</v>
      </c>
      <c r="AT9">
        <f t="shared" si="9"/>
        <v>50.9063670411985</v>
      </c>
      <c r="AU9">
        <f t="shared" si="33"/>
        <v>3.1533058852022282E-2</v>
      </c>
      <c r="AV9">
        <f t="shared" si="33"/>
        <v>1.0788810850084767</v>
      </c>
      <c r="AW9">
        <f t="shared" si="33"/>
        <v>5.0895858561395011</v>
      </c>
      <c r="AX9">
        <f t="shared" si="34"/>
        <v>3.0193609692362518E-2</v>
      </c>
      <c r="AY9">
        <f t="shared" si="11"/>
        <v>1.0685592113077562</v>
      </c>
      <c r="AZ9">
        <f t="shared" si="11"/>
        <v>5.1012471789998814</v>
      </c>
      <c r="BA9">
        <f t="shared" si="35"/>
        <v>2.8191675410982862E-2</v>
      </c>
      <c r="BB9">
        <f t="shared" si="12"/>
        <v>1.0575492596478955</v>
      </c>
      <c r="BC9">
        <f t="shared" si="12"/>
        <v>5.1142590649411215</v>
      </c>
      <c r="BD9">
        <f t="shared" si="36"/>
        <v>3.0269111693260298E-2</v>
      </c>
      <c r="BE9">
        <f t="shared" si="13"/>
        <v>1.0549892831626579</v>
      </c>
      <c r="BF9">
        <f t="shared" si="13"/>
        <v>5.1147416051440819</v>
      </c>
      <c r="BG9">
        <f t="shared" si="37"/>
        <v>3.2958801498127341E-2</v>
      </c>
      <c r="BH9">
        <f t="shared" si="14"/>
        <v>1.0764044943820226</v>
      </c>
      <c r="BI9">
        <f t="shared" si="14"/>
        <v>5.0906367041198504</v>
      </c>
      <c r="BJ9">
        <f t="shared" si="38"/>
        <v>14.240736255751997</v>
      </c>
      <c r="BK9">
        <f t="shared" si="15"/>
        <v>487.23661903608621</v>
      </c>
      <c r="BL9">
        <f t="shared" si="39"/>
        <v>2298.5226447081618</v>
      </c>
      <c r="BM9">
        <f t="shared" si="40"/>
        <v>13.635823732034684</v>
      </c>
      <c r="BN9">
        <f t="shared" si="16"/>
        <v>482.57512768737382</v>
      </c>
      <c r="BO9">
        <f t="shared" si="16"/>
        <v>2303.7890485805915</v>
      </c>
      <c r="BP9">
        <f t="shared" si="41"/>
        <v>12.731724379153549</v>
      </c>
      <c r="BQ9">
        <f t="shared" si="17"/>
        <v>477.60289145388828</v>
      </c>
      <c r="BR9">
        <f t="shared" si="17"/>
        <v>2309.6653841669581</v>
      </c>
      <c r="BS9">
        <f t="shared" si="42"/>
        <v>13.669921409859489</v>
      </c>
      <c r="BT9">
        <f t="shared" si="18"/>
        <v>476.44677304120029</v>
      </c>
      <c r="BU9">
        <f t="shared" si="18"/>
        <v>2309.8833055489404</v>
      </c>
      <c r="BV9">
        <f t="shared" si="43"/>
        <v>14.884620031412348</v>
      </c>
      <c r="BW9">
        <f t="shared" si="19"/>
        <v>486.11815875317143</v>
      </c>
      <c r="BX9">
        <f t="shared" si="19"/>
        <v>2298.9972212154162</v>
      </c>
    </row>
    <row r="10" spans="1:76" x14ac:dyDescent="0.35">
      <c r="A10">
        <v>2031</v>
      </c>
      <c r="B10" s="5">
        <f t="shared" ref="B10:D13" si="44">B9+((B$14-B$9)/5)</f>
        <v>42.4</v>
      </c>
      <c r="C10" s="5">
        <f t="shared" si="44"/>
        <v>1432.8</v>
      </c>
      <c r="D10" s="5">
        <f t="shared" si="44"/>
        <v>6821.2</v>
      </c>
      <c r="E10" s="5">
        <f>E9+((E$14-E$9)/5)</f>
        <v>41.4</v>
      </c>
      <c r="F10" s="5">
        <f t="shared" ref="F10:P13" si="45">F9+((F$14-F$9)/5)</f>
        <v>1447.8</v>
      </c>
      <c r="G10" s="5">
        <f t="shared" si="45"/>
        <v>6986.8</v>
      </c>
      <c r="H10" s="5">
        <f t="shared" si="45"/>
        <v>39</v>
      </c>
      <c r="I10" s="5">
        <f t="shared" si="45"/>
        <v>1461</v>
      </c>
      <c r="J10" s="5">
        <f t="shared" si="45"/>
        <v>7153.6</v>
      </c>
      <c r="K10" s="5">
        <f t="shared" si="45"/>
        <v>41.2</v>
      </c>
      <c r="L10" s="5">
        <f t="shared" si="45"/>
        <v>1423.6</v>
      </c>
      <c r="M10" s="5">
        <f t="shared" si="45"/>
        <v>6988.6</v>
      </c>
      <c r="N10" s="5">
        <f t="shared" si="45"/>
        <v>44.6</v>
      </c>
      <c r="O10" s="5">
        <f t="shared" si="45"/>
        <v>1432.8</v>
      </c>
      <c r="P10" s="5">
        <f t="shared" si="45"/>
        <v>6839.6</v>
      </c>
      <c r="Q10">
        <f t="shared" si="22"/>
        <v>3.5774552818089778E-2</v>
      </c>
      <c r="R10">
        <f t="shared" si="23"/>
        <v>1.208909888626392</v>
      </c>
      <c r="S10">
        <f t="shared" si="23"/>
        <v>5.7553155585555178</v>
      </c>
      <c r="T10">
        <f t="shared" si="24"/>
        <v>3.4190655969797076E-2</v>
      </c>
      <c r="U10">
        <f t="shared" si="1"/>
        <v>1.1956819254365267</v>
      </c>
      <c r="V10">
        <f t="shared" si="1"/>
        <v>5.7701274185936766</v>
      </c>
      <c r="W10">
        <f t="shared" si="25"/>
        <v>3.1547564019598781E-2</v>
      </c>
      <c r="X10">
        <f t="shared" si="2"/>
        <v>1.1818202828880464</v>
      </c>
      <c r="Y10">
        <f t="shared" si="2"/>
        <v>5.7866321530923548</v>
      </c>
      <c r="Z10">
        <f t="shared" si="26"/>
        <v>3.4116450185724088E-2</v>
      </c>
      <c r="AA10">
        <f t="shared" si="3"/>
        <v>1.1788392836018644</v>
      </c>
      <c r="AB10">
        <f t="shared" si="3"/>
        <v>5.787044266212412</v>
      </c>
      <c r="AC10">
        <f t="shared" si="27"/>
        <v>3.7537573644342917E-2</v>
      </c>
      <c r="AD10">
        <f t="shared" si="4"/>
        <v>1.2059155945653481</v>
      </c>
      <c r="AE10">
        <f t="shared" si="4"/>
        <v>5.7565468317903088</v>
      </c>
      <c r="AF10">
        <f t="shared" si="28"/>
        <v>0.3168603249602237</v>
      </c>
      <c r="AG10">
        <f t="shared" si="5"/>
        <v>10.707487584976615</v>
      </c>
      <c r="AH10">
        <f t="shared" si="5"/>
        <v>50.975652090063164</v>
      </c>
      <c r="AI10">
        <f t="shared" si="29"/>
        <v>0.30283152430391691</v>
      </c>
      <c r="AJ10">
        <f t="shared" si="6"/>
        <v>10.59032562529495</v>
      </c>
      <c r="AK10">
        <f t="shared" si="6"/>
        <v>51.106842850401137</v>
      </c>
      <c r="AL10">
        <f t="shared" si="30"/>
        <v>0.27942128131644633</v>
      </c>
      <c r="AM10">
        <f t="shared" si="7"/>
        <v>10.467551077008412</v>
      </c>
      <c r="AN10">
        <f t="shared" si="7"/>
        <v>51.253027641675139</v>
      </c>
      <c r="AO10">
        <f t="shared" si="31"/>
        <v>0.30217427307355621</v>
      </c>
      <c r="AP10">
        <f t="shared" si="8"/>
        <v>10.441147940473655</v>
      </c>
      <c r="AQ10">
        <f t="shared" si="8"/>
        <v>51.256677786452791</v>
      </c>
      <c r="AR10">
        <f t="shared" si="32"/>
        <v>0.33247565227846582</v>
      </c>
      <c r="AS10">
        <f t="shared" si="9"/>
        <v>10.680966694721654</v>
      </c>
      <c r="AT10">
        <f t="shared" si="9"/>
        <v>50.986557652999878</v>
      </c>
      <c r="AU10">
        <f t="shared" si="33"/>
        <v>3.1686032496022372E-2</v>
      </c>
      <c r="AV10">
        <f t="shared" si="33"/>
        <v>1.0707487584976616</v>
      </c>
      <c r="AW10">
        <f t="shared" si="33"/>
        <v>5.0975652090063166</v>
      </c>
      <c r="AX10">
        <f t="shared" si="34"/>
        <v>3.0283152430391695E-2</v>
      </c>
      <c r="AY10">
        <f t="shared" si="11"/>
        <v>1.0590325625294952</v>
      </c>
      <c r="AZ10">
        <f t="shared" si="11"/>
        <v>5.1106842850401142</v>
      </c>
      <c r="BA10">
        <f t="shared" si="35"/>
        <v>2.7942128131644633E-2</v>
      </c>
      <c r="BB10">
        <f t="shared" si="12"/>
        <v>1.0467551077008412</v>
      </c>
      <c r="BC10">
        <f t="shared" si="12"/>
        <v>5.1253027641675146</v>
      </c>
      <c r="BD10">
        <f t="shared" si="36"/>
        <v>3.0217427307355625E-2</v>
      </c>
      <c r="BE10">
        <f t="shared" si="13"/>
        <v>1.0441147940473656</v>
      </c>
      <c r="BF10">
        <f t="shared" si="13"/>
        <v>5.1256677786452798</v>
      </c>
      <c r="BG10">
        <f t="shared" si="37"/>
        <v>3.3247565227846582E-2</v>
      </c>
      <c r="BH10">
        <f t="shared" si="14"/>
        <v>1.0680966694721654</v>
      </c>
      <c r="BI10">
        <f t="shared" si="14"/>
        <v>5.0986557652999878</v>
      </c>
      <c r="BJ10">
        <f t="shared" si="38"/>
        <v>14.30982112723591</v>
      </c>
      <c r="BK10">
        <f t="shared" si="15"/>
        <v>483.56395545055682</v>
      </c>
      <c r="BL10">
        <f t="shared" si="39"/>
        <v>2302.1262234222072</v>
      </c>
      <c r="BM10">
        <f t="shared" si="40"/>
        <v>13.676262387918829</v>
      </c>
      <c r="BN10">
        <f t="shared" si="16"/>
        <v>478.27277017461068</v>
      </c>
      <c r="BO10">
        <f t="shared" si="16"/>
        <v>2308.0509674374707</v>
      </c>
      <c r="BP10">
        <f t="shared" si="41"/>
        <v>12.619025607839511</v>
      </c>
      <c r="BQ10">
        <f t="shared" si="17"/>
        <v>472.72811315521858</v>
      </c>
      <c r="BR10">
        <f t="shared" si="17"/>
        <v>2314.652861236942</v>
      </c>
      <c r="BS10">
        <f t="shared" si="42"/>
        <v>13.646580074289636</v>
      </c>
      <c r="BT10">
        <f t="shared" si="18"/>
        <v>471.53571344074572</v>
      </c>
      <c r="BU10">
        <f t="shared" si="18"/>
        <v>2314.8177064849647</v>
      </c>
      <c r="BV10">
        <f t="shared" si="43"/>
        <v>15.015029457737166</v>
      </c>
      <c r="BW10">
        <f t="shared" si="19"/>
        <v>482.36623782613918</v>
      </c>
      <c r="BX10">
        <f t="shared" si="19"/>
        <v>2302.6187327161238</v>
      </c>
    </row>
    <row r="11" spans="1:76" x14ac:dyDescent="0.35">
      <c r="A11">
        <v>2032</v>
      </c>
      <c r="B11" s="5">
        <f t="shared" si="44"/>
        <v>42.8</v>
      </c>
      <c r="C11" s="5">
        <f t="shared" si="44"/>
        <v>1428.6</v>
      </c>
      <c r="D11" s="5">
        <f t="shared" si="44"/>
        <v>6863.4</v>
      </c>
      <c r="E11" s="5">
        <f>E10+((E$14-E$9)/5)</f>
        <v>41.8</v>
      </c>
      <c r="F11" s="5">
        <f t="shared" si="45"/>
        <v>1444.6</v>
      </c>
      <c r="G11" s="5">
        <f t="shared" si="45"/>
        <v>7046.6</v>
      </c>
      <c r="H11" s="5">
        <f t="shared" si="45"/>
        <v>39</v>
      </c>
      <c r="I11" s="5">
        <f t="shared" si="45"/>
        <v>1459</v>
      </c>
      <c r="J11" s="5">
        <f t="shared" si="45"/>
        <v>7232.2000000000007</v>
      </c>
      <c r="K11" s="5">
        <f t="shared" si="45"/>
        <v>41.400000000000006</v>
      </c>
      <c r="L11" s="5">
        <f t="shared" si="45"/>
        <v>1418.1999999999998</v>
      </c>
      <c r="M11" s="5">
        <f t="shared" si="45"/>
        <v>7049.2000000000007</v>
      </c>
      <c r="N11" s="5">
        <f t="shared" si="45"/>
        <v>45.2</v>
      </c>
      <c r="O11" s="5">
        <f t="shared" si="45"/>
        <v>1428.6</v>
      </c>
      <c r="P11" s="5">
        <f t="shared" si="45"/>
        <v>6883.2000000000007</v>
      </c>
      <c r="Q11">
        <f t="shared" si="22"/>
        <v>3.5945673561453187E-2</v>
      </c>
      <c r="R11">
        <f t="shared" si="23"/>
        <v>1.1998128329414022</v>
      </c>
      <c r="S11">
        <f t="shared" si="23"/>
        <v>5.7642414934971447</v>
      </c>
      <c r="T11">
        <f t="shared" si="24"/>
        <v>3.4290401968826906E-2</v>
      </c>
      <c r="U11">
        <f t="shared" si="1"/>
        <v>1.1850697292863002</v>
      </c>
      <c r="V11">
        <f t="shared" si="1"/>
        <v>5.7806398687448732</v>
      </c>
      <c r="W11">
        <f t="shared" si="25"/>
        <v>3.1270761265492199E-2</v>
      </c>
      <c r="X11">
        <f t="shared" si="2"/>
        <v>1.1698471970859774</v>
      </c>
      <c r="Y11">
        <f t="shared" si="2"/>
        <v>5.7988820416485307</v>
      </c>
      <c r="Z11">
        <f t="shared" si="26"/>
        <v>3.405885671305002E-2</v>
      </c>
      <c r="AA11">
        <f t="shared" si="3"/>
        <v>1.1667215118465586</v>
      </c>
      <c r="AB11">
        <f t="shared" si="3"/>
        <v>5.7992196314403905</v>
      </c>
      <c r="AC11">
        <f t="shared" si="27"/>
        <v>3.7860476247457218E-2</v>
      </c>
      <c r="AD11">
        <f t="shared" si="4"/>
        <v>1.196625583343305</v>
      </c>
      <c r="AE11">
        <f t="shared" si="4"/>
        <v>5.7655139404092379</v>
      </c>
      <c r="AF11">
        <f t="shared" si="28"/>
        <v>0.31837596583001393</v>
      </c>
      <c r="AG11">
        <f t="shared" si="5"/>
        <v>10.626913663195277</v>
      </c>
      <c r="AH11">
        <f t="shared" si="5"/>
        <v>51.054710370974711</v>
      </c>
      <c r="AI11">
        <f t="shared" si="29"/>
        <v>0.30371498886675263</v>
      </c>
      <c r="AJ11">
        <f t="shared" si="6"/>
        <v>10.496331887964372</v>
      </c>
      <c r="AK11">
        <f t="shared" si="6"/>
        <v>51.199953123168875</v>
      </c>
      <c r="AL11">
        <f t="shared" si="30"/>
        <v>0.27696959978007379</v>
      </c>
      <c r="AM11">
        <f t="shared" si="7"/>
        <v>10.361503745618657</v>
      </c>
      <c r="AN11">
        <f t="shared" si="7"/>
        <v>51.361526654601271</v>
      </c>
      <c r="AO11">
        <f t="shared" si="31"/>
        <v>0.30166415945844305</v>
      </c>
      <c r="AP11">
        <f t="shared" si="8"/>
        <v>10.333819104926661</v>
      </c>
      <c r="AQ11">
        <f t="shared" si="8"/>
        <v>51.364516735614892</v>
      </c>
      <c r="AR11">
        <f t="shared" si="32"/>
        <v>0.33533564676319255</v>
      </c>
      <c r="AS11">
        <f t="shared" si="9"/>
        <v>10.598683738183558</v>
      </c>
      <c r="AT11">
        <f t="shared" si="9"/>
        <v>51.065980615053256</v>
      </c>
      <c r="AU11">
        <f t="shared" si="33"/>
        <v>3.1837596583001393E-2</v>
      </c>
      <c r="AV11">
        <f t="shared" si="33"/>
        <v>1.0626913663195277</v>
      </c>
      <c r="AW11">
        <f t="shared" si="33"/>
        <v>5.1054710370974714</v>
      </c>
      <c r="AX11">
        <f t="shared" si="34"/>
        <v>3.0371498886675261E-2</v>
      </c>
      <c r="AY11">
        <f t="shared" si="11"/>
        <v>1.0496331887964372</v>
      </c>
      <c r="AZ11">
        <f t="shared" si="11"/>
        <v>5.1199953123168873</v>
      </c>
      <c r="BA11">
        <f t="shared" si="35"/>
        <v>2.7696959978007377E-2</v>
      </c>
      <c r="BB11">
        <f t="shared" si="12"/>
        <v>1.0361503745618657</v>
      </c>
      <c r="BC11">
        <f t="shared" si="12"/>
        <v>5.1361526654601271</v>
      </c>
      <c r="BD11">
        <f t="shared" si="36"/>
        <v>3.0166415945844308E-2</v>
      </c>
      <c r="BE11">
        <f t="shared" si="13"/>
        <v>1.033381910492666</v>
      </c>
      <c r="BF11">
        <f t="shared" si="13"/>
        <v>5.1364516735614894</v>
      </c>
      <c r="BG11">
        <f t="shared" si="37"/>
        <v>3.3533564676319252E-2</v>
      </c>
      <c r="BH11">
        <f t="shared" si="14"/>
        <v>1.0598683738183559</v>
      </c>
      <c r="BI11">
        <f t="shared" si="14"/>
        <v>5.1065980615053252</v>
      </c>
      <c r="BJ11">
        <f t="shared" si="38"/>
        <v>14.378269424581275</v>
      </c>
      <c r="BK11">
        <f t="shared" si="15"/>
        <v>479.92513317656091</v>
      </c>
      <c r="BL11">
        <f t="shared" si="39"/>
        <v>2305.6965973988581</v>
      </c>
      <c r="BM11">
        <f t="shared" si="40"/>
        <v>13.716160787530763</v>
      </c>
      <c r="BN11">
        <f t="shared" si="16"/>
        <v>474.02789171452002</v>
      </c>
      <c r="BO11">
        <f t="shared" si="16"/>
        <v>2312.2559474979494</v>
      </c>
      <c r="BP11">
        <f t="shared" si="41"/>
        <v>12.508304506196881</v>
      </c>
      <c r="BQ11">
        <f t="shared" si="17"/>
        <v>467.93887883439095</v>
      </c>
      <c r="BR11">
        <f t="shared" si="17"/>
        <v>2319.5528166594122</v>
      </c>
      <c r="BS11">
        <f t="shared" si="42"/>
        <v>13.623542685220009</v>
      </c>
      <c r="BT11">
        <f t="shared" si="18"/>
        <v>466.68860473862338</v>
      </c>
      <c r="BU11">
        <f t="shared" si="18"/>
        <v>2319.6878525761563</v>
      </c>
      <c r="BV11">
        <f t="shared" si="43"/>
        <v>15.144190498982889</v>
      </c>
      <c r="BW11">
        <f t="shared" si="19"/>
        <v>478.65023333732199</v>
      </c>
      <c r="BX11">
        <f t="shared" si="19"/>
        <v>2306.2055761636952</v>
      </c>
    </row>
    <row r="12" spans="1:76" x14ac:dyDescent="0.35">
      <c r="A12">
        <v>2033</v>
      </c>
      <c r="B12" s="5">
        <f t="shared" si="44"/>
        <v>43.199999999999996</v>
      </c>
      <c r="C12" s="5">
        <f t="shared" si="44"/>
        <v>1424.3999999999999</v>
      </c>
      <c r="D12" s="5">
        <f t="shared" si="44"/>
        <v>6905.5999999999995</v>
      </c>
      <c r="E12" s="5">
        <f>E11+((E$14-E$9)/5)</f>
        <v>42.199999999999996</v>
      </c>
      <c r="F12" s="5">
        <f t="shared" si="45"/>
        <v>1441.3999999999999</v>
      </c>
      <c r="G12" s="5">
        <f t="shared" si="45"/>
        <v>7106.4000000000005</v>
      </c>
      <c r="H12" s="5">
        <f t="shared" si="45"/>
        <v>39</v>
      </c>
      <c r="I12" s="5">
        <f t="shared" si="45"/>
        <v>1457</v>
      </c>
      <c r="J12" s="5">
        <f t="shared" si="45"/>
        <v>7310.8000000000011</v>
      </c>
      <c r="K12" s="5">
        <f t="shared" si="45"/>
        <v>41.600000000000009</v>
      </c>
      <c r="L12" s="5">
        <f t="shared" si="45"/>
        <v>1412.7999999999997</v>
      </c>
      <c r="M12" s="5">
        <f t="shared" si="45"/>
        <v>7109.8000000000011</v>
      </c>
      <c r="N12" s="5">
        <f t="shared" si="45"/>
        <v>45.800000000000004</v>
      </c>
      <c r="O12" s="5">
        <f t="shared" si="45"/>
        <v>1424.3999999999999</v>
      </c>
      <c r="P12" s="5">
        <f t="shared" si="45"/>
        <v>6926.8000000000011</v>
      </c>
      <c r="Q12">
        <f t="shared" si="22"/>
        <v>3.6115224764725548E-2</v>
      </c>
      <c r="R12">
        <f t="shared" si="23"/>
        <v>1.1907992165480343</v>
      </c>
      <c r="S12">
        <f t="shared" si="23"/>
        <v>5.7730855586872405</v>
      </c>
      <c r="T12">
        <f t="shared" si="24"/>
        <v>3.4388824214202557E-2</v>
      </c>
      <c r="U12">
        <f t="shared" si="1"/>
        <v>1.1745983701979044</v>
      </c>
      <c r="V12">
        <f t="shared" si="1"/>
        <v>5.7910128055878936</v>
      </c>
      <c r="W12">
        <f t="shared" si="25"/>
        <v>3.0998773674887584E-2</v>
      </c>
      <c r="X12">
        <f t="shared" si="2"/>
        <v>1.1580823908797746</v>
      </c>
      <c r="Y12">
        <f t="shared" si="2"/>
        <v>5.8109188354453378</v>
      </c>
      <c r="Z12">
        <f t="shared" si="26"/>
        <v>3.4002008360383931E-2</v>
      </c>
      <c r="AA12">
        <f t="shared" si="3"/>
        <v>1.1547605147007305</v>
      </c>
      <c r="AB12">
        <f t="shared" si="3"/>
        <v>5.8112374769388859</v>
      </c>
      <c r="AC12">
        <f t="shared" si="27"/>
        <v>3.8180302488984165E-2</v>
      </c>
      <c r="AD12">
        <f t="shared" si="4"/>
        <v>1.1874240800285816</v>
      </c>
      <c r="AE12">
        <f t="shared" si="4"/>
        <v>5.7743956174824351</v>
      </c>
      <c r="AF12">
        <f t="shared" si="28"/>
        <v>0.31987770505899776</v>
      </c>
      <c r="AG12">
        <f t="shared" si="5"/>
        <v>10.547078775139731</v>
      </c>
      <c r="AH12">
        <f t="shared" si="5"/>
        <v>51.133043519801276</v>
      </c>
      <c r="AI12">
        <f t="shared" si="29"/>
        <v>0.30458672875436554</v>
      </c>
      <c r="AJ12">
        <f t="shared" si="6"/>
        <v>10.403585564610012</v>
      </c>
      <c r="AK12">
        <f t="shared" si="6"/>
        <v>51.29182770663563</v>
      </c>
      <c r="AL12">
        <f t="shared" si="30"/>
        <v>0.27456056683471858</v>
      </c>
      <c r="AM12">
        <f t="shared" si="7"/>
        <v>10.257301176363718</v>
      </c>
      <c r="AN12">
        <f t="shared" si="7"/>
        <v>51.468138256801559</v>
      </c>
      <c r="AO12">
        <f t="shared" si="31"/>
        <v>0.30116064547768623</v>
      </c>
      <c r="AP12">
        <f t="shared" si="8"/>
        <v>10.227878844492185</v>
      </c>
      <c r="AQ12">
        <f t="shared" si="8"/>
        <v>51.470960510030132</v>
      </c>
      <c r="AR12">
        <f t="shared" si="32"/>
        <v>0.33816839347385974</v>
      </c>
      <c r="AS12">
        <f t="shared" si="9"/>
        <v>10.517184708824578</v>
      </c>
      <c r="AT12">
        <f t="shared" si="9"/>
        <v>51.14464689770157</v>
      </c>
      <c r="AU12">
        <f t="shared" si="33"/>
        <v>3.1987770505899772E-2</v>
      </c>
      <c r="AV12">
        <f t="shared" si="33"/>
        <v>1.0547078775139731</v>
      </c>
      <c r="AW12">
        <f t="shared" si="33"/>
        <v>5.1133043519801271</v>
      </c>
      <c r="AX12">
        <f t="shared" si="34"/>
        <v>3.0458672875436552E-2</v>
      </c>
      <c r="AY12">
        <f t="shared" si="11"/>
        <v>1.0403585564610012</v>
      </c>
      <c r="AZ12">
        <f t="shared" si="11"/>
        <v>5.1291827706635633</v>
      </c>
      <c r="BA12">
        <f t="shared" si="35"/>
        <v>2.7456056683471858E-2</v>
      </c>
      <c r="BB12">
        <f t="shared" si="12"/>
        <v>1.0257301176363718</v>
      </c>
      <c r="BC12">
        <f t="shared" si="12"/>
        <v>5.1468138256801561</v>
      </c>
      <c r="BD12">
        <f t="shared" si="36"/>
        <v>3.0116064547768624E-2</v>
      </c>
      <c r="BE12">
        <f t="shared" si="13"/>
        <v>1.0227878844492186</v>
      </c>
      <c r="BF12">
        <f t="shared" si="13"/>
        <v>5.1470960510030137</v>
      </c>
      <c r="BG12">
        <f t="shared" si="37"/>
        <v>3.3816839347385975E-2</v>
      </c>
      <c r="BH12">
        <f t="shared" si="14"/>
        <v>1.0517184708824578</v>
      </c>
      <c r="BI12">
        <f t="shared" si="14"/>
        <v>5.1144646897701573</v>
      </c>
      <c r="BJ12">
        <f t="shared" si="38"/>
        <v>14.44608990589022</v>
      </c>
      <c r="BK12">
        <f t="shared" si="15"/>
        <v>476.31968661921371</v>
      </c>
      <c r="BL12">
        <f t="shared" si="39"/>
        <v>2309.2342234748962</v>
      </c>
      <c r="BM12">
        <f t="shared" si="40"/>
        <v>13.755529685681024</v>
      </c>
      <c r="BN12">
        <f t="shared" si="16"/>
        <v>469.83934807916177</v>
      </c>
      <c r="BO12">
        <f t="shared" si="16"/>
        <v>2316.4051222351573</v>
      </c>
      <c r="BP12">
        <f t="shared" si="41"/>
        <v>12.399509469955033</v>
      </c>
      <c r="BQ12">
        <f t="shared" si="17"/>
        <v>463.23295635190988</v>
      </c>
      <c r="BR12">
        <f t="shared" si="17"/>
        <v>2324.367534178135</v>
      </c>
      <c r="BS12">
        <f t="shared" si="42"/>
        <v>13.600803344153572</v>
      </c>
      <c r="BT12">
        <f t="shared" si="18"/>
        <v>461.90420588029224</v>
      </c>
      <c r="BU12">
        <f t="shared" si="18"/>
        <v>2324.4949907755545</v>
      </c>
      <c r="BV12">
        <f t="shared" si="43"/>
        <v>15.272120995593665</v>
      </c>
      <c r="BW12">
        <f t="shared" si="19"/>
        <v>474.96963201143257</v>
      </c>
      <c r="BX12">
        <f t="shared" si="19"/>
        <v>2309.7582469929744</v>
      </c>
    </row>
    <row r="13" spans="1:76" x14ac:dyDescent="0.35">
      <c r="A13">
        <v>2034</v>
      </c>
      <c r="B13" s="5">
        <f t="shared" si="44"/>
        <v>43.599999999999994</v>
      </c>
      <c r="C13" s="5">
        <f t="shared" si="44"/>
        <v>1420.1999999999998</v>
      </c>
      <c r="D13" s="5">
        <f t="shared" si="44"/>
        <v>6947.7999999999993</v>
      </c>
      <c r="E13" s="5">
        <f>E12+((E$14-E$9)/5)</f>
        <v>42.599999999999994</v>
      </c>
      <c r="F13" s="5">
        <f t="shared" si="45"/>
        <v>1438.1999999999998</v>
      </c>
      <c r="G13" s="5">
        <f t="shared" si="45"/>
        <v>7166.2000000000007</v>
      </c>
      <c r="H13" s="5">
        <f t="shared" si="45"/>
        <v>39</v>
      </c>
      <c r="I13" s="5">
        <f t="shared" si="45"/>
        <v>1455</v>
      </c>
      <c r="J13" s="5">
        <f t="shared" si="45"/>
        <v>7389.4000000000015</v>
      </c>
      <c r="K13" s="5">
        <f t="shared" si="45"/>
        <v>41.800000000000011</v>
      </c>
      <c r="L13" s="5">
        <f t="shared" si="45"/>
        <v>1407.3999999999996</v>
      </c>
      <c r="M13" s="5">
        <f t="shared" si="45"/>
        <v>7170.4000000000015</v>
      </c>
      <c r="N13" s="5">
        <f t="shared" si="45"/>
        <v>46.400000000000006</v>
      </c>
      <c r="O13" s="5">
        <f t="shared" si="45"/>
        <v>1420.1999999999998</v>
      </c>
      <c r="P13" s="5">
        <f t="shared" si="45"/>
        <v>6970.4000000000015</v>
      </c>
      <c r="Q13">
        <f t="shared" si="22"/>
        <v>3.6283227923343958E-2</v>
      </c>
      <c r="R13">
        <f t="shared" si="23"/>
        <v>1.1818678967140617</v>
      </c>
      <c r="S13">
        <f t="shared" si="23"/>
        <v>5.781848875362595</v>
      </c>
      <c r="T13">
        <f t="shared" si="24"/>
        <v>3.448594888400601E-2</v>
      </c>
      <c r="U13">
        <f t="shared" si="1"/>
        <v>1.1642650630276394</v>
      </c>
      <c r="V13">
        <f t="shared" si="1"/>
        <v>5.8012489880883553</v>
      </c>
      <c r="W13">
        <f t="shared" si="25"/>
        <v>3.0731476686854126E-2</v>
      </c>
      <c r="X13">
        <f t="shared" si="2"/>
        <v>1.1465204763941732</v>
      </c>
      <c r="Y13">
        <f t="shared" si="2"/>
        <v>5.8227480469189725</v>
      </c>
      <c r="Z13">
        <f t="shared" si="26"/>
        <v>3.3945890760592151E-2</v>
      </c>
      <c r="AA13">
        <f t="shared" si="3"/>
        <v>1.1429532692932385</v>
      </c>
      <c r="AB13">
        <f t="shared" si="3"/>
        <v>5.8231008399461697</v>
      </c>
      <c r="AC13">
        <f t="shared" si="27"/>
        <v>3.8497096124214765E-2</v>
      </c>
      <c r="AD13">
        <f t="shared" si="4"/>
        <v>1.1783098257674525</v>
      </c>
      <c r="AE13">
        <f t="shared" si="4"/>
        <v>5.7831930781083329</v>
      </c>
      <c r="AF13">
        <f t="shared" si="28"/>
        <v>0.32136573303533217</v>
      </c>
      <c r="AG13">
        <f t="shared" si="5"/>
        <v>10.467972799467402</v>
      </c>
      <c r="AH13">
        <f t="shared" si="5"/>
        <v>51.210661467497275</v>
      </c>
      <c r="AI13">
        <f t="shared" si="29"/>
        <v>0.30544697582976754</v>
      </c>
      <c r="AJ13">
        <f t="shared" si="6"/>
        <v>10.312061986816236</v>
      </c>
      <c r="AK13">
        <f t="shared" si="6"/>
        <v>51.382491037354001</v>
      </c>
      <c r="AL13">
        <f t="shared" si="30"/>
        <v>0.27219307922642227</v>
      </c>
      <c r="AM13">
        <f t="shared" si="7"/>
        <v>10.154895648062677</v>
      </c>
      <c r="AN13">
        <f t="shared" si="7"/>
        <v>51.572911272710897</v>
      </c>
      <c r="AO13">
        <f t="shared" si="31"/>
        <v>0.30066360387953045</v>
      </c>
      <c r="AP13">
        <f t="shared" si="8"/>
        <v>10.123300385168683</v>
      </c>
      <c r="AQ13">
        <f t="shared" si="8"/>
        <v>51.576036010951789</v>
      </c>
      <c r="AR13">
        <f t="shared" si="32"/>
        <v>0.34097427995733076</v>
      </c>
      <c r="AS13">
        <f t="shared" si="9"/>
        <v>10.436458456797437</v>
      </c>
      <c r="AT13">
        <f t="shared" si="9"/>
        <v>51.222567263245232</v>
      </c>
      <c r="AU13">
        <f t="shared" si="33"/>
        <v>3.2136573303533221E-2</v>
      </c>
      <c r="AV13">
        <f t="shared" si="33"/>
        <v>1.0467972799467402</v>
      </c>
      <c r="AW13">
        <f t="shared" si="33"/>
        <v>5.1210661467497269</v>
      </c>
      <c r="AX13">
        <f t="shared" si="34"/>
        <v>3.0544697582976753E-2</v>
      </c>
      <c r="AY13">
        <f t="shared" si="11"/>
        <v>1.0312061986816237</v>
      </c>
      <c r="AZ13">
        <f t="shared" si="11"/>
        <v>5.1382491037354008</v>
      </c>
      <c r="BA13">
        <f t="shared" si="35"/>
        <v>2.7219307922642228E-2</v>
      </c>
      <c r="BB13">
        <f t="shared" si="12"/>
        <v>1.0154895648062678</v>
      </c>
      <c r="BC13">
        <f t="shared" si="12"/>
        <v>5.1572911272710904</v>
      </c>
      <c r="BD13">
        <f t="shared" si="36"/>
        <v>3.0066360387953045E-2</v>
      </c>
      <c r="BE13">
        <f t="shared" si="13"/>
        <v>1.0123300385168683</v>
      </c>
      <c r="BF13">
        <f t="shared" si="13"/>
        <v>5.1576036010951789</v>
      </c>
      <c r="BG13">
        <f t="shared" si="37"/>
        <v>3.4097427995733079E-2</v>
      </c>
      <c r="BH13">
        <f t="shared" si="14"/>
        <v>1.0436458456797437</v>
      </c>
      <c r="BI13">
        <f t="shared" si="14"/>
        <v>5.1222567263245233</v>
      </c>
      <c r="BJ13">
        <f t="shared" si="38"/>
        <v>14.513291169337583</v>
      </c>
      <c r="BK13">
        <f t="shared" si="15"/>
        <v>472.74715868562464</v>
      </c>
      <c r="BL13">
        <f t="shared" si="39"/>
        <v>2312.7395501450383</v>
      </c>
      <c r="BM13">
        <f t="shared" si="40"/>
        <v>13.794379553602404</v>
      </c>
      <c r="BN13">
        <f t="shared" si="16"/>
        <v>465.70602521105582</v>
      </c>
      <c r="BO13">
        <f t="shared" si="16"/>
        <v>2320.499595235342</v>
      </c>
      <c r="BP13">
        <f t="shared" si="41"/>
        <v>12.292590674741652</v>
      </c>
      <c r="BQ13">
        <f t="shared" si="17"/>
        <v>458.60819055766933</v>
      </c>
      <c r="BR13">
        <f t="shared" si="17"/>
        <v>2329.0992187675888</v>
      </c>
      <c r="BS13">
        <f t="shared" si="42"/>
        <v>13.578356304236859</v>
      </c>
      <c r="BT13">
        <f t="shared" si="18"/>
        <v>457.18130771729534</v>
      </c>
      <c r="BU13">
        <f t="shared" si="18"/>
        <v>2329.240335978468</v>
      </c>
      <c r="BV13">
        <f t="shared" si="43"/>
        <v>15.398838449685906</v>
      </c>
      <c r="BW13">
        <f t="shared" si="19"/>
        <v>471.32393030698103</v>
      </c>
      <c r="BX13">
        <f t="shared" si="19"/>
        <v>2313.2772312433331</v>
      </c>
    </row>
    <row r="14" spans="1:76" x14ac:dyDescent="0.35">
      <c r="A14">
        <v>2035</v>
      </c>
      <c r="B14" s="5">
        <v>44</v>
      </c>
      <c r="C14" s="5">
        <v>1416</v>
      </c>
      <c r="D14" s="5">
        <v>6990</v>
      </c>
      <c r="E14" s="5">
        <v>43</v>
      </c>
      <c r="F14" s="5">
        <v>1435</v>
      </c>
      <c r="G14" s="5">
        <v>7226</v>
      </c>
      <c r="H14" s="5">
        <v>39</v>
      </c>
      <c r="I14" s="5">
        <v>1453</v>
      </c>
      <c r="J14" s="5">
        <v>7468</v>
      </c>
      <c r="K14" s="5">
        <v>42</v>
      </c>
      <c r="L14" s="5">
        <v>1402</v>
      </c>
      <c r="M14" s="5">
        <v>7231</v>
      </c>
      <c r="N14" s="5">
        <v>47</v>
      </c>
      <c r="O14" s="5">
        <v>1416</v>
      </c>
      <c r="P14" s="5">
        <v>7014</v>
      </c>
      <c r="Q14">
        <f t="shared" si="22"/>
        <v>3.6449704142011839E-2</v>
      </c>
      <c r="R14">
        <f t="shared" si="23"/>
        <v>1.1730177514792901</v>
      </c>
      <c r="S14">
        <f t="shared" si="23"/>
        <v>5.7905325443786984</v>
      </c>
      <c r="T14">
        <f t="shared" si="24"/>
        <v>3.458180147058823E-2</v>
      </c>
      <c r="U14">
        <f t="shared" si="1"/>
        <v>1.1540670955882353</v>
      </c>
      <c r="V14">
        <f t="shared" si="1"/>
        <v>5.8113511029411766</v>
      </c>
      <c r="W14">
        <f t="shared" si="25"/>
        <v>3.0468750000000003E-2</v>
      </c>
      <c r="X14">
        <f t="shared" si="2"/>
        <v>1.1351562499999999</v>
      </c>
      <c r="Y14">
        <f t="shared" si="2"/>
        <v>5.8343749999999996</v>
      </c>
      <c r="Z14">
        <f t="shared" si="26"/>
        <v>3.3890489913544666E-2</v>
      </c>
      <c r="AA14">
        <f t="shared" si="3"/>
        <v>1.1312968299711816</v>
      </c>
      <c r="AB14">
        <f t="shared" si="3"/>
        <v>5.8348126801152738</v>
      </c>
      <c r="AC14">
        <f t="shared" si="27"/>
        <v>3.8810900082576386E-2</v>
      </c>
      <c r="AD14">
        <f t="shared" si="4"/>
        <v>1.1692815854665566</v>
      </c>
      <c r="AE14">
        <f t="shared" si="4"/>
        <v>5.7919075144508669</v>
      </c>
      <c r="AF14">
        <f t="shared" si="28"/>
        <v>0.32284023668639056</v>
      </c>
      <c r="AG14">
        <f t="shared" si="5"/>
        <v>10.389585798816569</v>
      </c>
      <c r="AH14">
        <f t="shared" si="5"/>
        <v>51.287573964497042</v>
      </c>
      <c r="AI14">
        <f t="shared" si="29"/>
        <v>0.30629595588235292</v>
      </c>
      <c r="AJ14">
        <f t="shared" si="6"/>
        <v>10.22173713235294</v>
      </c>
      <c r="AK14">
        <f t="shared" si="6"/>
        <v>51.471966911764703</v>
      </c>
      <c r="AL14">
        <f t="shared" si="30"/>
        <v>0.26986607142857144</v>
      </c>
      <c r="AM14">
        <f t="shared" si="7"/>
        <v>10.054241071428571</v>
      </c>
      <c r="AN14">
        <f t="shared" si="7"/>
        <v>51.675892857142856</v>
      </c>
      <c r="AO14">
        <f t="shared" si="31"/>
        <v>0.3001729106628242</v>
      </c>
      <c r="AP14">
        <f t="shared" si="8"/>
        <v>10.020057636887609</v>
      </c>
      <c r="AQ14">
        <f t="shared" si="8"/>
        <v>51.679769452449563</v>
      </c>
      <c r="AR14">
        <f t="shared" si="32"/>
        <v>0.34375368644567655</v>
      </c>
      <c r="AS14">
        <f t="shared" si="9"/>
        <v>10.356494042703787</v>
      </c>
      <c r="AT14">
        <f t="shared" si="9"/>
        <v>51.29975227085054</v>
      </c>
      <c r="AU14">
        <f t="shared" si="33"/>
        <v>3.2284023668639056E-2</v>
      </c>
      <c r="AV14">
        <f t="shared" si="33"/>
        <v>1.038958579881657</v>
      </c>
      <c r="AW14">
        <f t="shared" si="33"/>
        <v>5.1287573964497044</v>
      </c>
      <c r="AX14">
        <f t="shared" si="34"/>
        <v>3.0629595588235293E-2</v>
      </c>
      <c r="AY14">
        <f t="shared" si="11"/>
        <v>1.0221737132352942</v>
      </c>
      <c r="AZ14">
        <f t="shared" si="11"/>
        <v>5.1471966911764708</v>
      </c>
      <c r="BA14">
        <f t="shared" si="35"/>
        <v>2.6986607142857146E-2</v>
      </c>
      <c r="BB14">
        <f t="shared" si="12"/>
        <v>1.0054241071428571</v>
      </c>
      <c r="BC14">
        <f t="shared" si="12"/>
        <v>5.1675892857142856</v>
      </c>
      <c r="BD14">
        <f t="shared" si="36"/>
        <v>3.0017291066282422E-2</v>
      </c>
      <c r="BE14">
        <f t="shared" si="13"/>
        <v>1.0020057636887609</v>
      </c>
      <c r="BF14">
        <f t="shared" si="13"/>
        <v>5.1679769452449564</v>
      </c>
      <c r="BG14">
        <f t="shared" si="37"/>
        <v>3.4375368644567653E-2</v>
      </c>
      <c r="BH14">
        <f t="shared" si="14"/>
        <v>1.0356494042703788</v>
      </c>
      <c r="BI14">
        <f t="shared" si="14"/>
        <v>5.1299752270850538</v>
      </c>
      <c r="BJ14">
        <f t="shared" si="38"/>
        <v>14.579881656804735</v>
      </c>
      <c r="BK14">
        <f t="shared" si="15"/>
        <v>469.20710059171597</v>
      </c>
      <c r="BL14">
        <f t="shared" si="39"/>
        <v>2316.2130177514796</v>
      </c>
      <c r="BM14">
        <f t="shared" si="40"/>
        <v>13.832720588235293</v>
      </c>
      <c r="BN14">
        <f t="shared" si="16"/>
        <v>461.62683823529409</v>
      </c>
      <c r="BO14">
        <f t="shared" si="16"/>
        <v>2324.5404411764707</v>
      </c>
      <c r="BP14">
        <f t="shared" si="41"/>
        <v>12.1875</v>
      </c>
      <c r="BQ14">
        <f t="shared" si="17"/>
        <v>454.0625</v>
      </c>
      <c r="BR14">
        <f t="shared" si="17"/>
        <v>2333.75</v>
      </c>
      <c r="BS14">
        <f t="shared" si="42"/>
        <v>13.556195965417867</v>
      </c>
      <c r="BT14">
        <f t="shared" si="18"/>
        <v>452.51873198847261</v>
      </c>
      <c r="BU14">
        <f t="shared" si="18"/>
        <v>2333.9250720461096</v>
      </c>
      <c r="BV14">
        <f t="shared" si="43"/>
        <v>15.524360033030554</v>
      </c>
      <c r="BW14">
        <f t="shared" si="19"/>
        <v>467.71263418662267</v>
      </c>
      <c r="BX14">
        <f t="shared" si="19"/>
        <v>2316.7630057803467</v>
      </c>
    </row>
    <row r="15" spans="1:76" x14ac:dyDescent="0.35">
      <c r="A15">
        <v>2036</v>
      </c>
      <c r="B15" s="5">
        <f t="shared" ref="B15:E18" si="46">B14+((B$19-B$14)/5)</f>
        <v>44.2</v>
      </c>
      <c r="C15" s="5">
        <f t="shared" si="46"/>
        <v>1409.8</v>
      </c>
      <c r="D15" s="5">
        <f t="shared" si="46"/>
        <v>7024.8</v>
      </c>
      <c r="E15" s="5">
        <f>E14+((E$19-E$14)/5)</f>
        <v>43.4</v>
      </c>
      <c r="F15" s="5">
        <f t="shared" ref="F15:P18" si="47">F14+((F$19-F$14)/5)</f>
        <v>1429.8</v>
      </c>
      <c r="G15" s="5">
        <f t="shared" si="47"/>
        <v>7281.2</v>
      </c>
      <c r="H15" s="5">
        <f t="shared" si="47"/>
        <v>39</v>
      </c>
      <c r="I15" s="5">
        <f t="shared" si="47"/>
        <v>1448.8</v>
      </c>
      <c r="J15" s="5">
        <f t="shared" si="47"/>
        <v>7545.4</v>
      </c>
      <c r="K15" s="5">
        <f t="shared" si="47"/>
        <v>42.2</v>
      </c>
      <c r="L15" s="5">
        <f t="shared" si="47"/>
        <v>1394.2</v>
      </c>
      <c r="M15" s="5">
        <f t="shared" si="47"/>
        <v>7286.8</v>
      </c>
      <c r="N15" s="5">
        <f t="shared" si="47"/>
        <v>47.6</v>
      </c>
      <c r="O15" s="5">
        <f t="shared" si="47"/>
        <v>1409.8</v>
      </c>
      <c r="P15" s="5">
        <f t="shared" si="47"/>
        <v>7052.2</v>
      </c>
      <c r="Q15">
        <f t="shared" si="22"/>
        <v>3.6491012879181023E-2</v>
      </c>
      <c r="R15">
        <f t="shared" si="23"/>
        <v>1.1639147049110723</v>
      </c>
      <c r="S15">
        <f t="shared" si="23"/>
        <v>5.799594282209747</v>
      </c>
      <c r="T15">
        <f t="shared" si="24"/>
        <v>3.4702549575070823E-2</v>
      </c>
      <c r="U15">
        <f t="shared" si="1"/>
        <v>1.1432651009777941</v>
      </c>
      <c r="V15">
        <f t="shared" si="1"/>
        <v>5.8220323494471344</v>
      </c>
      <c r="W15">
        <f t="shared" si="25"/>
        <v>3.0221848292963739E-2</v>
      </c>
      <c r="X15">
        <f t="shared" si="2"/>
        <v>1.1227029181242527</v>
      </c>
      <c r="Y15">
        <f t="shared" si="2"/>
        <v>5.8470752335827845</v>
      </c>
      <c r="Z15">
        <f t="shared" si="26"/>
        <v>3.3863719735876742E-2</v>
      </c>
      <c r="AA15">
        <f t="shared" si="3"/>
        <v>1.1187866837857667</v>
      </c>
      <c r="AB15">
        <f t="shared" si="3"/>
        <v>5.8473495964783559</v>
      </c>
      <c r="AC15">
        <f t="shared" si="27"/>
        <v>3.9155777004794584E-2</v>
      </c>
      <c r="AD15">
        <f t="shared" si="4"/>
        <v>1.1597019836420042</v>
      </c>
      <c r="AE15">
        <f t="shared" si="4"/>
        <v>5.8011422393532008</v>
      </c>
      <c r="AF15">
        <f t="shared" si="28"/>
        <v>0.32320611407274624</v>
      </c>
      <c r="AG15">
        <f t="shared" si="5"/>
        <v>10.30895881492664</v>
      </c>
      <c r="AH15">
        <f t="shared" si="5"/>
        <v>51.36783507100062</v>
      </c>
      <c r="AI15">
        <f t="shared" si="29"/>
        <v>0.3073654390934844</v>
      </c>
      <c r="AJ15">
        <f t="shared" si="6"/>
        <v>10.126062322946176</v>
      </c>
      <c r="AK15">
        <f t="shared" si="6"/>
        <v>51.566572237960337</v>
      </c>
      <c r="AL15">
        <f t="shared" si="30"/>
        <v>0.26767922773767883</v>
      </c>
      <c r="AM15">
        <f t="shared" si="7"/>
        <v>9.9439401319576675</v>
      </c>
      <c r="AN15">
        <f t="shared" si="7"/>
        <v>51.788380640304659</v>
      </c>
      <c r="AO15">
        <f t="shared" si="31"/>
        <v>0.29993580337490827</v>
      </c>
      <c r="AP15">
        <f t="shared" si="8"/>
        <v>9.9092534849596472</v>
      </c>
      <c r="AQ15">
        <f t="shared" si="8"/>
        <v>51.790810711665443</v>
      </c>
      <c r="AR15">
        <f t="shared" si="32"/>
        <v>0.34680831061389489</v>
      </c>
      <c r="AS15">
        <f t="shared" si="9"/>
        <v>10.27164614082918</v>
      </c>
      <c r="AT15">
        <f t="shared" si="9"/>
        <v>51.381545548556922</v>
      </c>
      <c r="AU15">
        <f t="shared" si="33"/>
        <v>3.2320611407274623E-2</v>
      </c>
      <c r="AV15">
        <f t="shared" si="33"/>
        <v>1.0308958814926641</v>
      </c>
      <c r="AW15">
        <f t="shared" si="33"/>
        <v>5.1367835071000618</v>
      </c>
      <c r="AX15">
        <f t="shared" si="34"/>
        <v>3.0736543909348442E-2</v>
      </c>
      <c r="AY15">
        <f t="shared" si="11"/>
        <v>1.0126062322946177</v>
      </c>
      <c r="AZ15">
        <f t="shared" si="11"/>
        <v>5.1566572237960342</v>
      </c>
      <c r="BA15">
        <f t="shared" si="35"/>
        <v>2.6767922773767883E-2</v>
      </c>
      <c r="BB15">
        <f t="shared" si="12"/>
        <v>0.99439401319576681</v>
      </c>
      <c r="BC15">
        <f t="shared" si="12"/>
        <v>5.1788380640304661</v>
      </c>
      <c r="BD15">
        <f t="shared" si="36"/>
        <v>2.9993580337490829E-2</v>
      </c>
      <c r="BE15">
        <f t="shared" si="13"/>
        <v>0.99092534849596481</v>
      </c>
      <c r="BF15">
        <f t="shared" si="13"/>
        <v>5.1790810711665438</v>
      </c>
      <c r="BG15">
        <f t="shared" si="37"/>
        <v>3.4680831061389493E-2</v>
      </c>
      <c r="BH15">
        <f t="shared" si="14"/>
        <v>1.027164614082918</v>
      </c>
      <c r="BI15">
        <f t="shared" si="14"/>
        <v>5.1381545548556922</v>
      </c>
      <c r="BJ15">
        <f t="shared" si="38"/>
        <v>14.59640515167241</v>
      </c>
      <c r="BK15">
        <f t="shared" si="15"/>
        <v>465.56588196442897</v>
      </c>
      <c r="BL15">
        <f t="shared" si="39"/>
        <v>2319.8377128838988</v>
      </c>
      <c r="BM15">
        <f t="shared" si="40"/>
        <v>13.881019830028329</v>
      </c>
      <c r="BN15">
        <f t="shared" si="16"/>
        <v>457.30604039111762</v>
      </c>
      <c r="BO15">
        <f t="shared" si="16"/>
        <v>2328.8129397788539</v>
      </c>
      <c r="BP15">
        <f t="shared" si="41"/>
        <v>12.088739317185496</v>
      </c>
      <c r="BQ15">
        <f t="shared" si="17"/>
        <v>449.08116724970114</v>
      </c>
      <c r="BR15">
        <f t="shared" si="17"/>
        <v>2338.8300934331137</v>
      </c>
      <c r="BS15">
        <f t="shared" si="42"/>
        <v>13.545487894350696</v>
      </c>
      <c r="BT15">
        <f t="shared" si="18"/>
        <v>447.51467351430665</v>
      </c>
      <c r="BU15">
        <f t="shared" si="18"/>
        <v>2338.9398385913423</v>
      </c>
      <c r="BV15">
        <f t="shared" si="43"/>
        <v>15.662310801917833</v>
      </c>
      <c r="BW15">
        <f t="shared" si="19"/>
        <v>463.88079345680165</v>
      </c>
      <c r="BX15">
        <f t="shared" si="19"/>
        <v>2320.4568957412803</v>
      </c>
    </row>
    <row r="16" spans="1:76" x14ac:dyDescent="0.35">
      <c r="A16">
        <v>2037</v>
      </c>
      <c r="B16" s="5">
        <f t="shared" si="46"/>
        <v>44.400000000000006</v>
      </c>
      <c r="C16" s="5">
        <f t="shared" si="46"/>
        <v>1403.6</v>
      </c>
      <c r="D16" s="5">
        <f t="shared" si="46"/>
        <v>7059.6</v>
      </c>
      <c r="E16" s="5">
        <f t="shared" si="46"/>
        <v>43.8</v>
      </c>
      <c r="F16" s="5">
        <f t="shared" si="47"/>
        <v>1424.6</v>
      </c>
      <c r="G16" s="5">
        <f t="shared" si="47"/>
        <v>7336.4</v>
      </c>
      <c r="H16" s="5">
        <f t="shared" si="47"/>
        <v>39</v>
      </c>
      <c r="I16" s="5">
        <f t="shared" si="47"/>
        <v>1444.6</v>
      </c>
      <c r="J16" s="5">
        <f t="shared" si="47"/>
        <v>7622.7999999999993</v>
      </c>
      <c r="K16" s="5">
        <f t="shared" si="47"/>
        <v>42.400000000000006</v>
      </c>
      <c r="L16" s="5">
        <f t="shared" si="47"/>
        <v>1386.4</v>
      </c>
      <c r="M16" s="5">
        <f t="shared" si="47"/>
        <v>7342.6</v>
      </c>
      <c r="N16" s="5">
        <f t="shared" si="47"/>
        <v>48.2</v>
      </c>
      <c r="O16" s="5">
        <f t="shared" si="47"/>
        <v>1403.6</v>
      </c>
      <c r="P16" s="5">
        <f t="shared" si="47"/>
        <v>7090.4</v>
      </c>
      <c r="Q16">
        <f t="shared" si="22"/>
        <v>3.6532041938972221E-2</v>
      </c>
      <c r="R16">
        <f t="shared" si="23"/>
        <v>1.1548732897644458</v>
      </c>
      <c r="S16">
        <f t="shared" si="23"/>
        <v>5.8085946682965819</v>
      </c>
      <c r="T16">
        <f t="shared" si="24"/>
        <v>3.482191531891695E-2</v>
      </c>
      <c r="U16">
        <f t="shared" si="1"/>
        <v>1.1325867708522623</v>
      </c>
      <c r="V16">
        <f t="shared" si="1"/>
        <v>5.8325913138288206</v>
      </c>
      <c r="W16">
        <f t="shared" si="25"/>
        <v>2.9978915927259948E-2</v>
      </c>
      <c r="X16">
        <f t="shared" si="2"/>
        <v>1.1104497935517876</v>
      </c>
      <c r="Y16">
        <f t="shared" si="2"/>
        <v>5.859571290520952</v>
      </c>
      <c r="Z16">
        <f t="shared" si="26"/>
        <v>3.3837243769523677E-2</v>
      </c>
      <c r="AA16">
        <f t="shared" si="3"/>
        <v>1.1064140274072554</v>
      </c>
      <c r="AB16">
        <f t="shared" si="3"/>
        <v>5.8597487288232202</v>
      </c>
      <c r="AC16">
        <f t="shared" si="27"/>
        <v>3.9498021586944827E-2</v>
      </c>
      <c r="AD16">
        <f t="shared" si="4"/>
        <v>1.1501954999882935</v>
      </c>
      <c r="AE16">
        <f t="shared" si="4"/>
        <v>5.8103064784247618</v>
      </c>
      <c r="AF16">
        <f t="shared" si="28"/>
        <v>0.32356951431661107</v>
      </c>
      <c r="AG16">
        <f t="shared" si="5"/>
        <v>10.228877709342235</v>
      </c>
      <c r="AH16">
        <f t="shared" si="5"/>
        <v>51.447552776341155</v>
      </c>
      <c r="AI16">
        <f t="shared" si="29"/>
        <v>0.3084226785389787</v>
      </c>
      <c r="AJ16">
        <f t="shared" si="6"/>
        <v>10.03148282754861</v>
      </c>
      <c r="AK16">
        <f t="shared" si="6"/>
        <v>51.66009449391241</v>
      </c>
      <c r="AL16">
        <f t="shared" si="30"/>
        <v>0.26552754107001669</v>
      </c>
      <c r="AM16">
        <f t="shared" si="7"/>
        <v>9.8354124571729766</v>
      </c>
      <c r="AN16">
        <f t="shared" si="7"/>
        <v>51.899060001757007</v>
      </c>
      <c r="AO16">
        <f t="shared" si="31"/>
        <v>0.29970130195863826</v>
      </c>
      <c r="AP16">
        <f t="shared" si="8"/>
        <v>9.799667099892833</v>
      </c>
      <c r="AQ16">
        <f t="shared" si="8"/>
        <v>51.900631598148522</v>
      </c>
      <c r="AR16">
        <f t="shared" si="32"/>
        <v>0.34983961977008271</v>
      </c>
      <c r="AS16">
        <f t="shared" si="9"/>
        <v>10.187445857039172</v>
      </c>
      <c r="AT16">
        <f t="shared" si="9"/>
        <v>51.462714523190748</v>
      </c>
      <c r="AU16">
        <f t="shared" si="33"/>
        <v>3.2356951431661105E-2</v>
      </c>
      <c r="AV16">
        <f t="shared" si="33"/>
        <v>1.0228877709342235</v>
      </c>
      <c r="AW16">
        <f t="shared" si="33"/>
        <v>5.1447552776341157</v>
      </c>
      <c r="AX16">
        <f t="shared" si="34"/>
        <v>3.0842267853897872E-2</v>
      </c>
      <c r="AY16">
        <f t="shared" si="11"/>
        <v>1.003148282754861</v>
      </c>
      <c r="AZ16">
        <f t="shared" si="11"/>
        <v>5.1660094493912414</v>
      </c>
      <c r="BA16">
        <f t="shared" si="35"/>
        <v>2.6552754107001669E-2</v>
      </c>
      <c r="BB16">
        <f t="shared" si="12"/>
        <v>0.98354124571729762</v>
      </c>
      <c r="BC16">
        <f t="shared" si="12"/>
        <v>5.1899060001757009</v>
      </c>
      <c r="BD16">
        <f t="shared" si="36"/>
        <v>2.9970130195863826E-2</v>
      </c>
      <c r="BE16">
        <f t="shared" si="13"/>
        <v>0.97996670998928337</v>
      </c>
      <c r="BF16">
        <f t="shared" si="13"/>
        <v>5.1900631598148523</v>
      </c>
      <c r="BG16">
        <f t="shared" si="37"/>
        <v>3.4983961977008274E-2</v>
      </c>
      <c r="BH16">
        <f t="shared" si="14"/>
        <v>1.0187445857039172</v>
      </c>
      <c r="BI16">
        <f t="shared" si="14"/>
        <v>5.1462714523190751</v>
      </c>
      <c r="BJ16">
        <f t="shared" si="38"/>
        <v>14.612816775588886</v>
      </c>
      <c r="BK16">
        <f t="shared" si="15"/>
        <v>461.94931590577835</v>
      </c>
      <c r="BL16">
        <f t="shared" si="39"/>
        <v>2323.4378673186329</v>
      </c>
      <c r="BM16">
        <f t="shared" si="40"/>
        <v>13.928766127566782</v>
      </c>
      <c r="BN16">
        <f t="shared" si="16"/>
        <v>453.03470834090496</v>
      </c>
      <c r="BO16">
        <f t="shared" si="16"/>
        <v>2333.0365255315282</v>
      </c>
      <c r="BP16">
        <f t="shared" si="41"/>
        <v>11.99156637090398</v>
      </c>
      <c r="BQ16">
        <f t="shared" si="17"/>
        <v>444.17991742071507</v>
      </c>
      <c r="BR16">
        <f t="shared" si="17"/>
        <v>2343.8285162083807</v>
      </c>
      <c r="BS16">
        <f t="shared" si="42"/>
        <v>13.53489750780947</v>
      </c>
      <c r="BT16">
        <f t="shared" si="18"/>
        <v>442.56561096290216</v>
      </c>
      <c r="BU16">
        <f t="shared" si="18"/>
        <v>2343.8994915292878</v>
      </c>
      <c r="BV16">
        <f t="shared" si="43"/>
        <v>15.79920863477793</v>
      </c>
      <c r="BW16">
        <f t="shared" si="19"/>
        <v>460.07819999531745</v>
      </c>
      <c r="BX16">
        <f t="shared" si="19"/>
        <v>2324.122591369905</v>
      </c>
    </row>
    <row r="17" spans="1:76" x14ac:dyDescent="0.35">
      <c r="A17">
        <v>2038</v>
      </c>
      <c r="B17" s="5">
        <f t="shared" si="46"/>
        <v>44.600000000000009</v>
      </c>
      <c r="C17" s="5">
        <f t="shared" si="46"/>
        <v>1397.3999999999999</v>
      </c>
      <c r="D17" s="5">
        <f t="shared" si="46"/>
        <v>7094.4000000000005</v>
      </c>
      <c r="E17" s="5">
        <f t="shared" si="46"/>
        <v>44.199999999999996</v>
      </c>
      <c r="F17" s="5">
        <f t="shared" si="47"/>
        <v>1419.3999999999999</v>
      </c>
      <c r="G17" s="5">
        <f t="shared" si="47"/>
        <v>7391.5999999999995</v>
      </c>
      <c r="H17" s="5">
        <f t="shared" si="47"/>
        <v>39</v>
      </c>
      <c r="I17" s="5">
        <f t="shared" si="47"/>
        <v>1440.3999999999999</v>
      </c>
      <c r="J17" s="5">
        <f t="shared" si="47"/>
        <v>7700.1999999999989</v>
      </c>
      <c r="K17" s="5">
        <f t="shared" si="47"/>
        <v>42.600000000000009</v>
      </c>
      <c r="L17" s="5">
        <f t="shared" si="47"/>
        <v>1378.6000000000001</v>
      </c>
      <c r="M17" s="5">
        <f t="shared" si="47"/>
        <v>7398.4000000000005</v>
      </c>
      <c r="N17" s="5">
        <f t="shared" si="47"/>
        <v>48.800000000000004</v>
      </c>
      <c r="O17" s="5">
        <f t="shared" si="47"/>
        <v>1397.3999999999999</v>
      </c>
      <c r="P17" s="5">
        <f t="shared" si="47"/>
        <v>7128.5999999999995</v>
      </c>
      <c r="Q17">
        <f t="shared" si="22"/>
        <v>3.6572794152101601E-2</v>
      </c>
      <c r="R17">
        <f t="shared" si="23"/>
        <v>1.1458928822454428</v>
      </c>
      <c r="S17">
        <f t="shared" si="23"/>
        <v>5.8175343236024553</v>
      </c>
      <c r="T17">
        <f t="shared" si="24"/>
        <v>3.4939922305537989E-2</v>
      </c>
      <c r="U17">
        <f t="shared" si="1"/>
        <v>1.1220299936760323</v>
      </c>
      <c r="V17">
        <f t="shared" si="1"/>
        <v>5.8430300840184302</v>
      </c>
      <c r="W17">
        <f t="shared" si="25"/>
        <v>2.9739857945880001E-2</v>
      </c>
      <c r="X17">
        <f t="shared" si="2"/>
        <v>1.0983920868011678</v>
      </c>
      <c r="Y17">
        <f t="shared" si="2"/>
        <v>5.8718680552529516</v>
      </c>
      <c r="Z17">
        <f t="shared" si="26"/>
        <v>3.381105719080231E-2</v>
      </c>
      <c r="AA17">
        <f t="shared" si="3"/>
        <v>1.0941766066488277</v>
      </c>
      <c r="AB17">
        <f t="shared" si="3"/>
        <v>5.8720123361603704</v>
      </c>
      <c r="AC17">
        <f t="shared" si="27"/>
        <v>3.9837663852218132E-2</v>
      </c>
      <c r="AD17">
        <f t="shared" si="4"/>
        <v>1.1407613005551149</v>
      </c>
      <c r="AE17">
        <f t="shared" si="4"/>
        <v>5.8194010355926675</v>
      </c>
      <c r="AF17">
        <f t="shared" si="28"/>
        <v>0.32393046249004276</v>
      </c>
      <c r="AG17">
        <f t="shared" si="5"/>
        <v>10.149336957031066</v>
      </c>
      <c r="AH17">
        <f t="shared" si="5"/>
        <v>51.526732580478892</v>
      </c>
      <c r="AI17">
        <f t="shared" si="29"/>
        <v>0.3094678832776222</v>
      </c>
      <c r="AJ17">
        <f t="shared" si="6"/>
        <v>9.937979943987715</v>
      </c>
      <c r="AK17">
        <f t="shared" si="6"/>
        <v>51.752552172734667</v>
      </c>
      <c r="AL17">
        <f t="shared" si="30"/>
        <v>0.26341017037779429</v>
      </c>
      <c r="AM17">
        <f t="shared" si="7"/>
        <v>9.7286156259532017</v>
      </c>
      <c r="AN17">
        <f t="shared" si="7"/>
        <v>52.007974203669001</v>
      </c>
      <c r="AO17">
        <f t="shared" si="31"/>
        <v>0.2994693636899633</v>
      </c>
      <c r="AP17">
        <f t="shared" si="8"/>
        <v>9.6912785160324741</v>
      </c>
      <c r="AQ17">
        <f t="shared" si="8"/>
        <v>52.009252120277566</v>
      </c>
      <c r="AR17">
        <f t="shared" si="32"/>
        <v>0.35284787983393201</v>
      </c>
      <c r="AS17">
        <f t="shared" si="9"/>
        <v>10.103885804916732</v>
      </c>
      <c r="AT17">
        <f t="shared" si="9"/>
        <v>51.54326631524934</v>
      </c>
      <c r="AU17">
        <f t="shared" si="33"/>
        <v>3.2393046249004277E-2</v>
      </c>
      <c r="AV17">
        <f t="shared" si="33"/>
        <v>1.0149336957031065</v>
      </c>
      <c r="AW17">
        <f t="shared" si="33"/>
        <v>5.1526732580478898</v>
      </c>
      <c r="AX17">
        <f t="shared" si="34"/>
        <v>3.094678832776222E-2</v>
      </c>
      <c r="AY17">
        <f t="shared" si="11"/>
        <v>0.99379799439877148</v>
      </c>
      <c r="AZ17">
        <f t="shared" si="11"/>
        <v>5.1752552172734667</v>
      </c>
      <c r="BA17">
        <f t="shared" si="35"/>
        <v>2.634101703777943E-2</v>
      </c>
      <c r="BB17">
        <f t="shared" si="12"/>
        <v>0.9728615625953202</v>
      </c>
      <c r="BC17">
        <f t="shared" si="12"/>
        <v>5.2007974203669001</v>
      </c>
      <c r="BD17">
        <f t="shared" si="36"/>
        <v>2.994693636899633E-2</v>
      </c>
      <c r="BE17">
        <f t="shared" si="13"/>
        <v>0.96912785160324744</v>
      </c>
      <c r="BF17">
        <f t="shared" si="13"/>
        <v>5.2009252120277569</v>
      </c>
      <c r="BG17">
        <f t="shared" si="37"/>
        <v>3.5284787983393205E-2</v>
      </c>
      <c r="BH17">
        <f t="shared" si="14"/>
        <v>1.0103885804916732</v>
      </c>
      <c r="BI17">
        <f t="shared" si="14"/>
        <v>5.1543266315249339</v>
      </c>
      <c r="BJ17">
        <f t="shared" si="38"/>
        <v>14.62911766084064</v>
      </c>
      <c r="BK17">
        <f t="shared" si="15"/>
        <v>458.35715289817716</v>
      </c>
      <c r="BL17">
        <f t="shared" si="39"/>
        <v>2327.0137294409824</v>
      </c>
      <c r="BM17">
        <f t="shared" si="40"/>
        <v>13.975968922215195</v>
      </c>
      <c r="BN17">
        <f t="shared" si="16"/>
        <v>448.8119974704129</v>
      </c>
      <c r="BO17">
        <f t="shared" si="16"/>
        <v>2337.2120336073722</v>
      </c>
      <c r="BP17">
        <f t="shared" si="41"/>
        <v>11.895943178351999</v>
      </c>
      <c r="BQ17">
        <f t="shared" si="17"/>
        <v>439.35683472046713</v>
      </c>
      <c r="BR17">
        <f t="shared" si="17"/>
        <v>2348.7472221011808</v>
      </c>
      <c r="BS17">
        <f t="shared" si="42"/>
        <v>13.524422876320923</v>
      </c>
      <c r="BT17">
        <f t="shared" si="18"/>
        <v>437.6706426595311</v>
      </c>
      <c r="BU17">
        <f t="shared" si="18"/>
        <v>2348.8049344641481</v>
      </c>
      <c r="BV17">
        <f t="shared" si="43"/>
        <v>15.935065540887253</v>
      </c>
      <c r="BW17">
        <f t="shared" si="19"/>
        <v>456.30452022204599</v>
      </c>
      <c r="BX17">
        <f t="shared" si="19"/>
        <v>2327.7604142370669</v>
      </c>
    </row>
    <row r="18" spans="1:76" x14ac:dyDescent="0.35">
      <c r="A18">
        <v>2039</v>
      </c>
      <c r="B18" s="5">
        <f t="shared" si="46"/>
        <v>44.800000000000011</v>
      </c>
      <c r="C18" s="5">
        <f t="shared" si="46"/>
        <v>1391.1999999999998</v>
      </c>
      <c r="D18" s="5">
        <f t="shared" si="46"/>
        <v>7129.2000000000007</v>
      </c>
      <c r="E18" s="5">
        <f t="shared" si="46"/>
        <v>44.599999999999994</v>
      </c>
      <c r="F18" s="5">
        <f t="shared" si="47"/>
        <v>1414.1999999999998</v>
      </c>
      <c r="G18" s="5">
        <f t="shared" si="47"/>
        <v>7446.7999999999993</v>
      </c>
      <c r="H18" s="5">
        <f t="shared" si="47"/>
        <v>39</v>
      </c>
      <c r="I18" s="5">
        <f t="shared" si="47"/>
        <v>1436.1999999999998</v>
      </c>
      <c r="J18" s="5">
        <f t="shared" si="47"/>
        <v>7777.5999999999985</v>
      </c>
      <c r="K18" s="5">
        <f t="shared" si="47"/>
        <v>42.800000000000011</v>
      </c>
      <c r="L18" s="5">
        <f t="shared" si="47"/>
        <v>1370.8000000000002</v>
      </c>
      <c r="M18" s="5">
        <f t="shared" si="47"/>
        <v>7454.2000000000007</v>
      </c>
      <c r="N18" s="5">
        <f t="shared" si="47"/>
        <v>49.400000000000006</v>
      </c>
      <c r="O18" s="5">
        <f t="shared" si="47"/>
        <v>1391.1999999999998</v>
      </c>
      <c r="P18" s="5">
        <f t="shared" si="47"/>
        <v>7166.7999999999993</v>
      </c>
      <c r="Q18">
        <f t="shared" si="22"/>
        <v>3.6613272311212822E-2</v>
      </c>
      <c r="R18">
        <f t="shared" si="23"/>
        <v>1.1369728669499835</v>
      </c>
      <c r="S18">
        <f t="shared" si="23"/>
        <v>5.8264138607388034</v>
      </c>
      <c r="T18">
        <f t="shared" si="24"/>
        <v>3.5056593604024432E-2</v>
      </c>
      <c r="U18">
        <f t="shared" si="1"/>
        <v>1.1115927057132591</v>
      </c>
      <c r="V18">
        <f t="shared" si="1"/>
        <v>5.853350700682717</v>
      </c>
      <c r="W18">
        <f t="shared" si="25"/>
        <v>2.9504582396679926E-2</v>
      </c>
      <c r="X18">
        <f t="shared" si="2"/>
        <v>1.0865251599515822</v>
      </c>
      <c r="Y18">
        <f t="shared" si="2"/>
        <v>5.883970257651737</v>
      </c>
      <c r="Z18">
        <f t="shared" si="26"/>
        <v>3.378515528090395E-2</v>
      </c>
      <c r="AA18">
        <f t="shared" si="3"/>
        <v>1.0820722163332508</v>
      </c>
      <c r="AB18">
        <f t="shared" si="3"/>
        <v>5.8841426283858453</v>
      </c>
      <c r="AC18">
        <f t="shared" si="27"/>
        <v>4.0174733368961602E-2</v>
      </c>
      <c r="AD18">
        <f t="shared" si="4"/>
        <v>1.1313985640263029</v>
      </c>
      <c r="AE18">
        <f t="shared" si="4"/>
        <v>5.8284267026047356</v>
      </c>
      <c r="AF18">
        <f t="shared" si="28"/>
        <v>0.32428898332788497</v>
      </c>
      <c r="AG18">
        <f t="shared" si="5"/>
        <v>10.070331107271283</v>
      </c>
      <c r="AH18">
        <f t="shared" si="5"/>
        <v>51.605379909400831</v>
      </c>
      <c r="AI18">
        <f t="shared" si="29"/>
        <v>0.31050125763564501</v>
      </c>
      <c r="AJ18">
        <f t="shared" si="6"/>
        <v>9.8455353934602936</v>
      </c>
      <c r="AK18">
        <f t="shared" si="6"/>
        <v>51.843963348904062</v>
      </c>
      <c r="AL18">
        <f t="shared" si="30"/>
        <v>0.26132630122773648</v>
      </c>
      <c r="AM18">
        <f t="shared" si="7"/>
        <v>9.6235085595711567</v>
      </c>
      <c r="AN18">
        <f t="shared" si="7"/>
        <v>52.115165139201103</v>
      </c>
      <c r="AO18">
        <f t="shared" si="31"/>
        <v>0.29923994677372068</v>
      </c>
      <c r="AP18">
        <f t="shared" si="8"/>
        <v>9.5840682018087922</v>
      </c>
      <c r="AQ18">
        <f t="shared" si="8"/>
        <v>52.116691851417492</v>
      </c>
      <c r="AR18">
        <f t="shared" si="32"/>
        <v>0.355833352696517</v>
      </c>
      <c r="AS18">
        <f t="shared" si="9"/>
        <v>10.020958709947253</v>
      </c>
      <c r="AT18">
        <f t="shared" si="9"/>
        <v>51.623207937356227</v>
      </c>
      <c r="AU18">
        <f t="shared" si="33"/>
        <v>3.2428898332788503E-2</v>
      </c>
      <c r="AV18">
        <f t="shared" si="33"/>
        <v>1.0070331107271282</v>
      </c>
      <c r="AW18">
        <f t="shared" si="33"/>
        <v>5.1605379909400835</v>
      </c>
      <c r="AX18">
        <f t="shared" si="34"/>
        <v>3.1050125763564501E-2</v>
      </c>
      <c r="AY18">
        <f t="shared" si="11"/>
        <v>0.98455353934602952</v>
      </c>
      <c r="AZ18">
        <f t="shared" si="11"/>
        <v>5.1843963348904065</v>
      </c>
      <c r="BA18">
        <f t="shared" si="35"/>
        <v>2.6132630122773649E-2</v>
      </c>
      <c r="BB18">
        <f t="shared" si="12"/>
        <v>0.96235085595711567</v>
      </c>
      <c r="BC18">
        <f t="shared" si="12"/>
        <v>5.2115165139201105</v>
      </c>
      <c r="BD18">
        <f t="shared" si="36"/>
        <v>2.9923994677372067E-2</v>
      </c>
      <c r="BE18">
        <f t="shared" si="13"/>
        <v>0.95840682018087919</v>
      </c>
      <c r="BF18">
        <f t="shared" si="13"/>
        <v>5.2116691851417487</v>
      </c>
      <c r="BG18">
        <f t="shared" si="37"/>
        <v>3.5583335269651704E-2</v>
      </c>
      <c r="BH18">
        <f t="shared" si="14"/>
        <v>1.0020958709947254</v>
      </c>
      <c r="BI18">
        <f t="shared" si="14"/>
        <v>5.1623207937356232</v>
      </c>
      <c r="BJ18">
        <f t="shared" si="38"/>
        <v>14.645308924485128</v>
      </c>
      <c r="BK18">
        <f t="shared" si="15"/>
        <v>454.78914677999336</v>
      </c>
      <c r="BL18">
        <f t="shared" si="39"/>
        <v>2330.5655442955212</v>
      </c>
      <c r="BM18">
        <f t="shared" si="40"/>
        <v>14.022637441609774</v>
      </c>
      <c r="BN18">
        <f t="shared" si="16"/>
        <v>444.63708228530362</v>
      </c>
      <c r="BO18">
        <f t="shared" si="16"/>
        <v>2341.3402802730866</v>
      </c>
      <c r="BP18">
        <f t="shared" si="41"/>
        <v>11.801832958671969</v>
      </c>
      <c r="BQ18">
        <f t="shared" si="17"/>
        <v>434.6100639806329</v>
      </c>
      <c r="BR18">
        <f t="shared" si="17"/>
        <v>2353.5881030606947</v>
      </c>
      <c r="BS18">
        <f t="shared" si="42"/>
        <v>13.514062112361579</v>
      </c>
      <c r="BT18">
        <f t="shared" si="18"/>
        <v>432.82888653330031</v>
      </c>
      <c r="BU18">
        <f t="shared" si="18"/>
        <v>2353.6570513543384</v>
      </c>
      <c r="BV18">
        <f t="shared" si="43"/>
        <v>16.069893347584639</v>
      </c>
      <c r="BW18">
        <f t="shared" si="19"/>
        <v>452.55942561052115</v>
      </c>
      <c r="BX18">
        <f t="shared" si="19"/>
        <v>2331.3706810418944</v>
      </c>
    </row>
    <row r="19" spans="1:76" x14ac:dyDescent="0.35">
      <c r="A19">
        <v>2040</v>
      </c>
      <c r="B19" s="5">
        <v>45</v>
      </c>
      <c r="C19" s="5">
        <v>1385</v>
      </c>
      <c r="D19" s="5">
        <v>7164</v>
      </c>
      <c r="E19" s="5">
        <v>45</v>
      </c>
      <c r="F19" s="5">
        <v>1409</v>
      </c>
      <c r="G19" s="5">
        <v>7502</v>
      </c>
      <c r="H19" s="5">
        <v>39</v>
      </c>
      <c r="I19" s="5">
        <v>1432</v>
      </c>
      <c r="J19" s="5">
        <v>7855</v>
      </c>
      <c r="K19" s="5">
        <v>43</v>
      </c>
      <c r="L19" s="5">
        <v>1363</v>
      </c>
      <c r="M19" s="5">
        <v>7510</v>
      </c>
      <c r="N19" s="5">
        <v>50</v>
      </c>
      <c r="O19" s="5">
        <v>1385</v>
      </c>
      <c r="P19" s="5">
        <v>7205</v>
      </c>
      <c r="Q19">
        <f t="shared" si="22"/>
        <v>3.6653479171515013E-2</v>
      </c>
      <c r="R19">
        <f t="shared" si="23"/>
        <v>1.1281126367232952</v>
      </c>
      <c r="S19">
        <f t="shared" si="23"/>
        <v>5.8352338841051896</v>
      </c>
      <c r="T19">
        <f t="shared" si="24"/>
        <v>3.5171951764180434E-2</v>
      </c>
      <c r="U19">
        <f t="shared" si="1"/>
        <v>1.1012728896828943</v>
      </c>
      <c r="V19">
        <f t="shared" si="1"/>
        <v>5.8635551585529253</v>
      </c>
      <c r="W19">
        <f t="shared" si="25"/>
        <v>2.9273000214454212E-2</v>
      </c>
      <c r="X19">
        <f t="shared" si="2"/>
        <v>1.0748445206948316</v>
      </c>
      <c r="Y19">
        <f t="shared" si="2"/>
        <v>5.8958824790907141</v>
      </c>
      <c r="Z19">
        <f t="shared" si="26"/>
        <v>3.3759533423059672E-2</v>
      </c>
      <c r="AA19">
        <f t="shared" si="3"/>
        <v>1.0700986989681471</v>
      </c>
      <c r="AB19">
        <f t="shared" si="3"/>
        <v>5.8961417676087926</v>
      </c>
      <c r="AC19">
        <f t="shared" si="27"/>
        <v>4.0509259259259259E-2</v>
      </c>
      <c r="AD19">
        <f t="shared" si="4"/>
        <v>1.1221064814814814</v>
      </c>
      <c r="AE19">
        <f t="shared" si="4"/>
        <v>5.8373842592592595</v>
      </c>
      <c r="AF19">
        <f t="shared" si="28"/>
        <v>0.32464510123341866</v>
      </c>
      <c r="AG19">
        <f t="shared" si="5"/>
        <v>9.99185478240633</v>
      </c>
      <c r="AH19">
        <f t="shared" si="5"/>
        <v>51.68350011636025</v>
      </c>
      <c r="AI19">
        <f t="shared" si="29"/>
        <v>0.31152300133988386</v>
      </c>
      <c r="AJ19">
        <f t="shared" si="6"/>
        <v>9.7541313086199199</v>
      </c>
      <c r="AK19">
        <f t="shared" si="6"/>
        <v>51.934345690040196</v>
      </c>
      <c r="AL19">
        <f t="shared" si="30"/>
        <v>0.25927514475659447</v>
      </c>
      <c r="AM19">
        <f t="shared" si="7"/>
        <v>9.5200514690113671</v>
      </c>
      <c r="AN19">
        <f t="shared" si="7"/>
        <v>52.220673386232036</v>
      </c>
      <c r="AO19">
        <f t="shared" si="31"/>
        <v>0.2990130103185285</v>
      </c>
      <c r="AP19">
        <f t="shared" si="8"/>
        <v>9.4780170480035899</v>
      </c>
      <c r="AQ19">
        <f t="shared" si="8"/>
        <v>52.222969941677881</v>
      </c>
      <c r="AR19">
        <f t="shared" si="32"/>
        <v>0.35879629629629628</v>
      </c>
      <c r="AS19">
        <f t="shared" si="9"/>
        <v>9.9386574074074083</v>
      </c>
      <c r="AT19">
        <f t="shared" si="9"/>
        <v>51.702546296296298</v>
      </c>
      <c r="AU19">
        <f t="shared" si="33"/>
        <v>3.2464510123341866E-2</v>
      </c>
      <c r="AV19">
        <f t="shared" si="33"/>
        <v>0.99918547824063297</v>
      </c>
      <c r="AW19">
        <f t="shared" si="33"/>
        <v>5.1683500116360257</v>
      </c>
      <c r="AX19">
        <f t="shared" si="34"/>
        <v>3.1152300133988387E-2</v>
      </c>
      <c r="AY19">
        <f t="shared" si="11"/>
        <v>0.97541313086199199</v>
      </c>
      <c r="AZ19">
        <f t="shared" si="11"/>
        <v>5.1934345690040198</v>
      </c>
      <c r="BA19">
        <f t="shared" si="35"/>
        <v>2.5927514475659445E-2</v>
      </c>
      <c r="BB19">
        <f t="shared" si="12"/>
        <v>0.95200514690113669</v>
      </c>
      <c r="BC19">
        <f t="shared" si="12"/>
        <v>5.2220673386232042</v>
      </c>
      <c r="BD19">
        <f t="shared" si="36"/>
        <v>2.9901301031852852E-2</v>
      </c>
      <c r="BE19">
        <f t="shared" si="13"/>
        <v>0.94780170480035897</v>
      </c>
      <c r="BF19">
        <f t="shared" si="13"/>
        <v>5.2222969941677881</v>
      </c>
      <c r="BG19">
        <f t="shared" si="37"/>
        <v>3.5879629629629629E-2</v>
      </c>
      <c r="BH19">
        <f t="shared" si="14"/>
        <v>0.99386574074074074</v>
      </c>
      <c r="BI19">
        <f t="shared" si="14"/>
        <v>5.1702546296296301</v>
      </c>
      <c r="BJ19">
        <f t="shared" si="38"/>
        <v>14.661391668606004</v>
      </c>
      <c r="BK19">
        <f t="shared" si="15"/>
        <v>451.24505468931812</v>
      </c>
      <c r="BL19">
        <f t="shared" si="39"/>
        <v>2334.0935536420757</v>
      </c>
      <c r="BM19">
        <f t="shared" si="40"/>
        <v>14.068780705672173</v>
      </c>
      <c r="BN19">
        <f t="shared" si="16"/>
        <v>440.50915587315768</v>
      </c>
      <c r="BO19">
        <f t="shared" si="16"/>
        <v>2345.4220634211702</v>
      </c>
      <c r="BP19">
        <f t="shared" si="41"/>
        <v>11.709200085781685</v>
      </c>
      <c r="BQ19">
        <f t="shared" si="17"/>
        <v>429.93780827793267</v>
      </c>
      <c r="BR19">
        <f t="shared" si="17"/>
        <v>2358.3529916362854</v>
      </c>
      <c r="BS19">
        <f t="shared" si="42"/>
        <v>13.503813369223868</v>
      </c>
      <c r="BT19">
        <f t="shared" si="18"/>
        <v>428.03947958725888</v>
      </c>
      <c r="BU19">
        <f t="shared" si="18"/>
        <v>2358.4567070435173</v>
      </c>
      <c r="BV19">
        <f t="shared" si="43"/>
        <v>16.203703703703702</v>
      </c>
      <c r="BW19">
        <f t="shared" si="19"/>
        <v>448.84259259259261</v>
      </c>
      <c r="BX19">
        <f t="shared" si="19"/>
        <v>2334.9537037037039</v>
      </c>
    </row>
    <row r="20" spans="1:76" x14ac:dyDescent="0.35">
      <c r="A20">
        <v>2041</v>
      </c>
      <c r="B20" s="5">
        <f t="shared" ref="B20:E23" si="48">B19+((B$24-B$19)/5)</f>
        <v>45.4</v>
      </c>
      <c r="C20" s="5">
        <f t="shared" si="48"/>
        <v>1377</v>
      </c>
      <c r="D20" s="5">
        <f t="shared" si="48"/>
        <v>7192</v>
      </c>
      <c r="E20" s="5">
        <f>E19+((E$24-E$19)/5)</f>
        <v>45.2</v>
      </c>
      <c r="F20" s="5">
        <f t="shared" ref="F20:P23" si="49">F19+((F$24-F$19)/5)</f>
        <v>1401.8</v>
      </c>
      <c r="G20" s="5">
        <f t="shared" si="49"/>
        <v>7552.6</v>
      </c>
      <c r="H20" s="5">
        <f t="shared" si="49"/>
        <v>39</v>
      </c>
      <c r="I20" s="5">
        <f t="shared" si="49"/>
        <v>1426.2</v>
      </c>
      <c r="J20" s="5">
        <f t="shared" si="49"/>
        <v>7933.2</v>
      </c>
      <c r="K20" s="5">
        <f t="shared" si="49"/>
        <v>43.2</v>
      </c>
      <c r="L20" s="5">
        <f t="shared" si="49"/>
        <v>1353.2</v>
      </c>
      <c r="M20" s="5">
        <f t="shared" si="49"/>
        <v>7563</v>
      </c>
      <c r="N20" s="5">
        <f t="shared" si="49"/>
        <v>50.8</v>
      </c>
      <c r="O20" s="5">
        <f t="shared" si="49"/>
        <v>1377.2</v>
      </c>
      <c r="P20" s="5">
        <f t="shared" si="49"/>
        <v>7235.6</v>
      </c>
      <c r="Q20">
        <f t="shared" si="22"/>
        <v>3.6891716196136702E-2</v>
      </c>
      <c r="R20">
        <f t="shared" si="23"/>
        <v>1.118940378900446</v>
      </c>
      <c r="S20">
        <f t="shared" si="23"/>
        <v>5.8441679049034176</v>
      </c>
      <c r="T20">
        <f t="shared" si="24"/>
        <v>3.5157118094137518E-2</v>
      </c>
      <c r="U20">
        <f t="shared" si="24"/>
        <v>1.0903373483265921</v>
      </c>
      <c r="V20">
        <f t="shared" si="24"/>
        <v>5.8745055335792697</v>
      </c>
      <c r="W20">
        <f t="shared" si="25"/>
        <v>2.9047497446373853E-2</v>
      </c>
      <c r="X20">
        <f t="shared" si="25"/>
        <v>1.0622446373850869</v>
      </c>
      <c r="Y20">
        <f t="shared" si="25"/>
        <v>5.9087078651685392</v>
      </c>
      <c r="Z20">
        <f t="shared" si="26"/>
        <v>3.3752260195995275E-2</v>
      </c>
      <c r="AA20">
        <f t="shared" si="26"/>
        <v>1.0572582985467778</v>
      </c>
      <c r="AB20">
        <f t="shared" si="26"/>
        <v>5.9089894412572272</v>
      </c>
      <c r="AC20">
        <f t="shared" si="27"/>
        <v>4.1045292949813003E-2</v>
      </c>
      <c r="AD20">
        <f t="shared" si="27"/>
        <v>1.1127475876079227</v>
      </c>
      <c r="AE20">
        <f t="shared" si="27"/>
        <v>5.8462071194422638</v>
      </c>
      <c r="AF20">
        <f t="shared" si="28"/>
        <v>0.32675520059435365</v>
      </c>
      <c r="AG20">
        <f t="shared" si="28"/>
        <v>9.9106147845468069</v>
      </c>
      <c r="AH20">
        <f t="shared" si="28"/>
        <v>51.762630014858843</v>
      </c>
      <c r="AI20">
        <f t="shared" si="29"/>
        <v>0.31139161740521798</v>
      </c>
      <c r="AJ20">
        <f t="shared" si="29"/>
        <v>9.657273656606959</v>
      </c>
      <c r="AK20">
        <f t="shared" si="29"/>
        <v>52.031334725987819</v>
      </c>
      <c r="AL20">
        <f t="shared" si="30"/>
        <v>0.25727783452502556</v>
      </c>
      <c r="AM20">
        <f t="shared" si="30"/>
        <v>9.4084525025536276</v>
      </c>
      <c r="AN20">
        <f t="shared" si="30"/>
        <v>52.334269662921344</v>
      </c>
      <c r="AO20">
        <f t="shared" si="31"/>
        <v>0.29894859030738669</v>
      </c>
      <c r="AP20">
        <f t="shared" si="31"/>
        <v>9.3642877871286032</v>
      </c>
      <c r="AQ20">
        <f t="shared" si="31"/>
        <v>52.336763622564007</v>
      </c>
      <c r="AR20">
        <f t="shared" si="32"/>
        <v>0.36354402326977237</v>
      </c>
      <c r="AS20">
        <f t="shared" si="32"/>
        <v>9.8557643473844596</v>
      </c>
      <c r="AT20">
        <f t="shared" si="32"/>
        <v>51.780691629345768</v>
      </c>
      <c r="AU20">
        <f t="shared" si="33"/>
        <v>3.2675520059435366E-2</v>
      </c>
      <c r="AV20">
        <f t="shared" si="33"/>
        <v>0.99106147845468062</v>
      </c>
      <c r="AW20">
        <f t="shared" si="33"/>
        <v>5.1762630014858848</v>
      </c>
      <c r="AX20">
        <f t="shared" si="34"/>
        <v>3.1139161740521802E-2</v>
      </c>
      <c r="AY20">
        <f t="shared" si="34"/>
        <v>0.96572736566069595</v>
      </c>
      <c r="AZ20">
        <f t="shared" si="34"/>
        <v>5.2031334725987817</v>
      </c>
      <c r="BA20">
        <f t="shared" si="35"/>
        <v>2.5727783452502557E-2</v>
      </c>
      <c r="BB20">
        <f t="shared" si="35"/>
        <v>0.94084525025536281</v>
      </c>
      <c r="BC20">
        <f t="shared" si="35"/>
        <v>5.2334269662921349</v>
      </c>
      <c r="BD20">
        <f t="shared" si="36"/>
        <v>2.9894859030738671E-2</v>
      </c>
      <c r="BE20">
        <f t="shared" si="36"/>
        <v>0.93642877871286034</v>
      </c>
      <c r="BF20">
        <f t="shared" si="36"/>
        <v>5.2336763622564009</v>
      </c>
      <c r="BG20">
        <f t="shared" si="37"/>
        <v>3.6354402326977238E-2</v>
      </c>
      <c r="BH20">
        <f t="shared" si="37"/>
        <v>0.98557643473844592</v>
      </c>
      <c r="BI20">
        <f t="shared" si="37"/>
        <v>5.1780691629345768</v>
      </c>
      <c r="BJ20">
        <f t="shared" si="38"/>
        <v>14.756686478454682</v>
      </c>
      <c r="BK20">
        <f t="shared" ref="BK20:BK79" si="50">2800*(C20/(SUM($B20:$D20)))</f>
        <v>447.57615156017835</v>
      </c>
      <c r="BL20">
        <f t="shared" si="39"/>
        <v>2337.6671619613671</v>
      </c>
      <c r="BM20">
        <f t="shared" si="40"/>
        <v>14.062847237655006</v>
      </c>
      <c r="BN20">
        <f t="shared" si="40"/>
        <v>436.13493933063688</v>
      </c>
      <c r="BO20">
        <f t="shared" si="40"/>
        <v>2349.802213431708</v>
      </c>
      <c r="BP20">
        <f t="shared" si="41"/>
        <v>11.618998978549541</v>
      </c>
      <c r="BQ20">
        <f t="shared" si="41"/>
        <v>424.89785495403476</v>
      </c>
      <c r="BR20">
        <f t="shared" si="41"/>
        <v>2363.4831460674159</v>
      </c>
      <c r="BS20">
        <f t="shared" si="42"/>
        <v>13.50090407839811</v>
      </c>
      <c r="BT20">
        <f t="shared" si="42"/>
        <v>422.90331941871108</v>
      </c>
      <c r="BU20">
        <f t="shared" si="42"/>
        <v>2363.5957765028907</v>
      </c>
      <c r="BV20">
        <f t="shared" si="43"/>
        <v>16.418117179925204</v>
      </c>
      <c r="BW20">
        <f t="shared" si="43"/>
        <v>445.09903504316912</v>
      </c>
      <c r="BX20">
        <f t="shared" si="43"/>
        <v>2338.4828477769056</v>
      </c>
    </row>
    <row r="21" spans="1:76" x14ac:dyDescent="0.35">
      <c r="A21">
        <v>2042</v>
      </c>
      <c r="B21" s="5">
        <f t="shared" si="48"/>
        <v>45.8</v>
      </c>
      <c r="C21" s="5">
        <f t="shared" si="48"/>
        <v>1369</v>
      </c>
      <c r="D21" s="5">
        <f t="shared" si="48"/>
        <v>7220</v>
      </c>
      <c r="E21" s="5">
        <f t="shared" si="48"/>
        <v>45.400000000000006</v>
      </c>
      <c r="F21" s="5">
        <f t="shared" si="49"/>
        <v>1394.6</v>
      </c>
      <c r="G21" s="5">
        <f t="shared" si="49"/>
        <v>7603.2000000000007</v>
      </c>
      <c r="H21" s="5">
        <f t="shared" si="49"/>
        <v>39</v>
      </c>
      <c r="I21" s="5">
        <f t="shared" si="49"/>
        <v>1420.4</v>
      </c>
      <c r="J21" s="5">
        <f t="shared" si="49"/>
        <v>8011.4</v>
      </c>
      <c r="K21" s="5">
        <f t="shared" si="49"/>
        <v>43.400000000000006</v>
      </c>
      <c r="L21" s="5">
        <f t="shared" si="49"/>
        <v>1343.4</v>
      </c>
      <c r="M21" s="5">
        <f t="shared" si="49"/>
        <v>7616</v>
      </c>
      <c r="N21" s="5">
        <f t="shared" si="49"/>
        <v>51.599999999999994</v>
      </c>
      <c r="O21" s="5">
        <f t="shared" si="49"/>
        <v>1369.4</v>
      </c>
      <c r="P21" s="5">
        <f t="shared" si="49"/>
        <v>7266.2000000000007</v>
      </c>
      <c r="Q21">
        <f t="shared" si="22"/>
        <v>3.7128827535090565E-2</v>
      </c>
      <c r="R21">
        <f t="shared" si="23"/>
        <v>1.1098114606012879</v>
      </c>
      <c r="S21">
        <f t="shared" si="23"/>
        <v>5.8530597118636223</v>
      </c>
      <c r="T21">
        <f t="shared" si="24"/>
        <v>3.5142427459306444E-2</v>
      </c>
      <c r="U21">
        <f t="shared" si="24"/>
        <v>1.0795072540693558</v>
      </c>
      <c r="V21">
        <f t="shared" si="24"/>
        <v>5.885350318471338</v>
      </c>
      <c r="W21">
        <f t="shared" si="25"/>
        <v>2.8825442412467799E-2</v>
      </c>
      <c r="X21">
        <f t="shared" si="25"/>
        <v>1.0498373949402375</v>
      </c>
      <c r="Y21">
        <f t="shared" si="25"/>
        <v>5.921337162647295</v>
      </c>
      <c r="Z21">
        <f t="shared" si="26"/>
        <v>3.3745057093348747E-2</v>
      </c>
      <c r="AA21">
        <f t="shared" si="26"/>
        <v>1.0445416981383571</v>
      </c>
      <c r="AB21">
        <f t="shared" si="26"/>
        <v>5.921713244768295</v>
      </c>
      <c r="AC21">
        <f t="shared" si="27"/>
        <v>4.1578414218620491E-2</v>
      </c>
      <c r="AD21">
        <f t="shared" si="27"/>
        <v>1.1034395432360253</v>
      </c>
      <c r="AE21">
        <f t="shared" si="27"/>
        <v>5.8549820425453545</v>
      </c>
      <c r="AF21">
        <f t="shared" si="28"/>
        <v>0.32885532959651642</v>
      </c>
      <c r="AG21">
        <f t="shared" si="28"/>
        <v>9.8297586510399775</v>
      </c>
      <c r="AH21">
        <f t="shared" si="28"/>
        <v>51.841386019363512</v>
      </c>
      <c r="AI21">
        <f t="shared" si="29"/>
        <v>0.31126150035385702</v>
      </c>
      <c r="AJ21">
        <f t="shared" si="29"/>
        <v>9.5613499646142941</v>
      </c>
      <c r="AK21">
        <f t="shared" si="29"/>
        <v>52.127388535031848</v>
      </c>
      <c r="AL21">
        <f t="shared" si="30"/>
        <v>0.25531106136757192</v>
      </c>
      <c r="AM21">
        <f t="shared" si="30"/>
        <v>9.2985597837563887</v>
      </c>
      <c r="AN21">
        <f t="shared" si="30"/>
        <v>52.44612915487604</v>
      </c>
      <c r="AO21">
        <f t="shared" si="31"/>
        <v>0.29888479139823176</v>
      </c>
      <c r="AP21">
        <f t="shared" si="31"/>
        <v>9.2516550406540201</v>
      </c>
      <c r="AQ21">
        <f t="shared" si="31"/>
        <v>52.449460167947755</v>
      </c>
      <c r="AR21">
        <f t="shared" si="32"/>
        <v>0.36826595450778149</v>
      </c>
      <c r="AS21">
        <f t="shared" si="32"/>
        <v>9.7733216686619393</v>
      </c>
      <c r="AT21">
        <f t="shared" si="32"/>
        <v>51.85841237683028</v>
      </c>
      <c r="AU21">
        <f t="shared" si="33"/>
        <v>3.2885532959651645E-2</v>
      </c>
      <c r="AV21">
        <f t="shared" si="33"/>
        <v>0.98297586510399781</v>
      </c>
      <c r="AW21">
        <f t="shared" si="33"/>
        <v>5.1841386019363513</v>
      </c>
      <c r="AX21">
        <f t="shared" si="34"/>
        <v>3.1126150035385707E-2</v>
      </c>
      <c r="AY21">
        <f t="shared" si="34"/>
        <v>0.95613499646142952</v>
      </c>
      <c r="AZ21">
        <f t="shared" si="34"/>
        <v>5.2127388535031853</v>
      </c>
      <c r="BA21">
        <f t="shared" si="35"/>
        <v>2.5531106136757194E-2</v>
      </c>
      <c r="BB21">
        <f t="shared" si="35"/>
        <v>0.92985597837563894</v>
      </c>
      <c r="BC21">
        <f t="shared" si="35"/>
        <v>5.244612915487604</v>
      </c>
      <c r="BD21">
        <f t="shared" si="36"/>
        <v>2.9888479139823176E-2</v>
      </c>
      <c r="BE21">
        <f t="shared" si="36"/>
        <v>0.9251655040654021</v>
      </c>
      <c r="BF21">
        <f t="shared" si="36"/>
        <v>5.2449460167947759</v>
      </c>
      <c r="BG21">
        <f t="shared" si="37"/>
        <v>3.6826595450778148E-2</v>
      </c>
      <c r="BH21">
        <f t="shared" si="37"/>
        <v>0.97733216686619395</v>
      </c>
      <c r="BI21">
        <f t="shared" si="37"/>
        <v>5.1858412376830278</v>
      </c>
      <c r="BJ21">
        <f t="shared" si="38"/>
        <v>14.851531014036226</v>
      </c>
      <c r="BK21">
        <f t="shared" si="50"/>
        <v>443.92458424051517</v>
      </c>
      <c r="BL21">
        <f t="shared" si="39"/>
        <v>2341.2238847454491</v>
      </c>
      <c r="BM21">
        <f t="shared" si="40"/>
        <v>14.056970983722577</v>
      </c>
      <c r="BN21">
        <f t="shared" si="40"/>
        <v>431.80290162774236</v>
      </c>
      <c r="BO21">
        <f t="shared" si="40"/>
        <v>2354.1401273885353</v>
      </c>
      <c r="BP21">
        <f t="shared" si="41"/>
        <v>11.530176964987119</v>
      </c>
      <c r="BQ21">
        <f t="shared" si="41"/>
        <v>419.93495797609501</v>
      </c>
      <c r="BR21">
        <f t="shared" si="41"/>
        <v>2368.5348650589181</v>
      </c>
      <c r="BS21">
        <f t="shared" si="42"/>
        <v>13.498022837339498</v>
      </c>
      <c r="BT21">
        <f t="shared" si="42"/>
        <v>417.81667925534288</v>
      </c>
      <c r="BU21">
        <f t="shared" si="42"/>
        <v>2368.6852979073178</v>
      </c>
      <c r="BV21">
        <f t="shared" si="43"/>
        <v>16.631365687448195</v>
      </c>
      <c r="BW21">
        <f t="shared" si="43"/>
        <v>441.37581729441013</v>
      </c>
      <c r="BX21">
        <f t="shared" si="43"/>
        <v>2341.9928170181415</v>
      </c>
    </row>
    <row r="22" spans="1:76" x14ac:dyDescent="0.35">
      <c r="A22">
        <v>2043</v>
      </c>
      <c r="B22" s="5">
        <f t="shared" si="48"/>
        <v>46.199999999999996</v>
      </c>
      <c r="C22" s="5">
        <f t="shared" si="48"/>
        <v>1361</v>
      </c>
      <c r="D22" s="5">
        <f t="shared" si="48"/>
        <v>7248</v>
      </c>
      <c r="E22" s="5">
        <f t="shared" si="48"/>
        <v>45.600000000000009</v>
      </c>
      <c r="F22" s="5">
        <f t="shared" si="49"/>
        <v>1387.3999999999999</v>
      </c>
      <c r="G22" s="5">
        <f t="shared" si="49"/>
        <v>7653.8000000000011</v>
      </c>
      <c r="H22" s="5">
        <f t="shared" si="49"/>
        <v>39</v>
      </c>
      <c r="I22" s="5">
        <f t="shared" si="49"/>
        <v>1414.6000000000001</v>
      </c>
      <c r="J22" s="5">
        <f t="shared" si="49"/>
        <v>8089.5999999999995</v>
      </c>
      <c r="K22" s="5">
        <f t="shared" si="49"/>
        <v>43.600000000000009</v>
      </c>
      <c r="L22" s="5">
        <f t="shared" si="49"/>
        <v>1333.6000000000001</v>
      </c>
      <c r="M22" s="5">
        <f t="shared" si="49"/>
        <v>7669</v>
      </c>
      <c r="N22" s="5">
        <f t="shared" si="49"/>
        <v>52.399999999999991</v>
      </c>
      <c r="O22" s="5">
        <f t="shared" si="49"/>
        <v>1361.6000000000001</v>
      </c>
      <c r="P22" s="5">
        <f t="shared" si="49"/>
        <v>7296.8000000000011</v>
      </c>
      <c r="Q22">
        <f t="shared" si="22"/>
        <v>3.7364821147980398E-2</v>
      </c>
      <c r="R22">
        <f t="shared" si="23"/>
        <v>1.1007255753766521</v>
      </c>
      <c r="S22">
        <f t="shared" si="23"/>
        <v>5.8619096034753664</v>
      </c>
      <c r="T22">
        <f t="shared" si="24"/>
        <v>3.5127877800765948E-2</v>
      </c>
      <c r="U22">
        <f t="shared" si="24"/>
        <v>1.0687810890522513</v>
      </c>
      <c r="V22">
        <f t="shared" si="24"/>
        <v>5.8960910331469822</v>
      </c>
      <c r="W22">
        <f t="shared" si="25"/>
        <v>2.8606756643473893E-2</v>
      </c>
      <c r="X22">
        <f t="shared" si="25"/>
        <v>1.0376184089194402</v>
      </c>
      <c r="Y22">
        <f t="shared" si="25"/>
        <v>5.9337748344370862</v>
      </c>
      <c r="Z22">
        <f t="shared" si="26"/>
        <v>3.3737923105834497E-2</v>
      </c>
      <c r="AA22">
        <f t="shared" si="26"/>
        <v>1.0319471159160751</v>
      </c>
      <c r="AB22">
        <f t="shared" si="26"/>
        <v>5.9343149609780896</v>
      </c>
      <c r="AC22">
        <f t="shared" si="27"/>
        <v>4.2108646737383466E-2</v>
      </c>
      <c r="AD22">
        <f t="shared" si="27"/>
        <v>1.0941819350691095</v>
      </c>
      <c r="AE22">
        <f t="shared" si="27"/>
        <v>5.8637094181935066</v>
      </c>
      <c r="AF22">
        <f t="shared" si="28"/>
        <v>0.33094555873925496</v>
      </c>
      <c r="AG22">
        <f t="shared" si="28"/>
        <v>9.7492836676217749</v>
      </c>
      <c r="AH22">
        <f t="shared" si="28"/>
        <v>51.919770773638966</v>
      </c>
      <c r="AI22">
        <f t="shared" si="29"/>
        <v>0.3111326319496413</v>
      </c>
      <c r="AJ22">
        <f t="shared" si="29"/>
        <v>9.4663467887485115</v>
      </c>
      <c r="AK22">
        <f t="shared" si="29"/>
        <v>52.222520579301843</v>
      </c>
      <c r="AL22">
        <f t="shared" si="30"/>
        <v>0.25337413027076877</v>
      </c>
      <c r="AM22">
        <f t="shared" si="30"/>
        <v>9.1903344790007573</v>
      </c>
      <c r="AN22">
        <f t="shared" si="30"/>
        <v>52.556291390728475</v>
      </c>
      <c r="AO22">
        <f t="shared" si="31"/>
        <v>0.29882160465167695</v>
      </c>
      <c r="AP22">
        <f t="shared" si="31"/>
        <v>9.140103026685237</v>
      </c>
      <c r="AQ22">
        <f t="shared" si="31"/>
        <v>52.561075368663083</v>
      </c>
      <c r="AR22">
        <f t="shared" si="32"/>
        <v>0.37296229967396788</v>
      </c>
      <c r="AS22">
        <f t="shared" si="32"/>
        <v>9.6913257106121122</v>
      </c>
      <c r="AT22">
        <f t="shared" si="32"/>
        <v>51.935711989713916</v>
      </c>
      <c r="AU22">
        <f t="shared" si="33"/>
        <v>3.3094555873925499E-2</v>
      </c>
      <c r="AV22">
        <f t="shared" si="33"/>
        <v>0.97492836676217753</v>
      </c>
      <c r="AW22">
        <f t="shared" si="33"/>
        <v>5.1919770773638962</v>
      </c>
      <c r="AX22">
        <f t="shared" si="34"/>
        <v>3.111326319496413E-2</v>
      </c>
      <c r="AY22">
        <f t="shared" si="34"/>
        <v>0.9466346788748512</v>
      </c>
      <c r="AZ22">
        <f t="shared" si="34"/>
        <v>5.2222520579301843</v>
      </c>
      <c r="BA22">
        <f t="shared" si="35"/>
        <v>2.5337413027076879E-2</v>
      </c>
      <c r="BB22">
        <f t="shared" si="35"/>
        <v>0.91903344790007568</v>
      </c>
      <c r="BC22">
        <f t="shared" si="35"/>
        <v>5.2556291390728482</v>
      </c>
      <c r="BD22">
        <f t="shared" si="36"/>
        <v>2.9882160465167697E-2</v>
      </c>
      <c r="BE22">
        <f t="shared" si="36"/>
        <v>0.91401030266852379</v>
      </c>
      <c r="BF22">
        <f t="shared" si="36"/>
        <v>5.2561075368663079</v>
      </c>
      <c r="BG22">
        <f t="shared" si="37"/>
        <v>3.7296229967396788E-2</v>
      </c>
      <c r="BH22">
        <f t="shared" si="37"/>
        <v>0.96913257106121131</v>
      </c>
      <c r="BI22">
        <f t="shared" si="37"/>
        <v>5.1935711989713917</v>
      </c>
      <c r="BJ22">
        <f t="shared" si="38"/>
        <v>14.945928459192158</v>
      </c>
      <c r="BK22">
        <f t="shared" si="50"/>
        <v>440.29023015066082</v>
      </c>
      <c r="BL22">
        <f t="shared" si="39"/>
        <v>2344.7638413901468</v>
      </c>
      <c r="BM22">
        <f t="shared" si="40"/>
        <v>14.051151120306381</v>
      </c>
      <c r="BN22">
        <f t="shared" si="40"/>
        <v>427.51243562090053</v>
      </c>
      <c r="BO22">
        <f t="shared" si="40"/>
        <v>2358.436413258793</v>
      </c>
      <c r="BP22">
        <f t="shared" si="41"/>
        <v>11.442702657389557</v>
      </c>
      <c r="BQ22">
        <f t="shared" si="41"/>
        <v>415.04736356777607</v>
      </c>
      <c r="BR22">
        <f t="shared" si="41"/>
        <v>2373.5099337748343</v>
      </c>
      <c r="BS22">
        <f t="shared" si="42"/>
        <v>13.495169242333798</v>
      </c>
      <c r="BT22">
        <f t="shared" si="42"/>
        <v>412.77884636643006</v>
      </c>
      <c r="BU22">
        <f t="shared" si="42"/>
        <v>2373.7259843912361</v>
      </c>
      <c r="BV22">
        <f t="shared" si="43"/>
        <v>16.843458694953387</v>
      </c>
      <c r="BW22">
        <f t="shared" si="43"/>
        <v>437.67277402764381</v>
      </c>
      <c r="BX22">
        <f t="shared" si="43"/>
        <v>2345.4837672774029</v>
      </c>
    </row>
    <row r="23" spans="1:76" x14ac:dyDescent="0.35">
      <c r="A23">
        <v>2044</v>
      </c>
      <c r="B23" s="5">
        <f t="shared" si="48"/>
        <v>46.599999999999994</v>
      </c>
      <c r="C23" s="5">
        <f t="shared" si="48"/>
        <v>1353</v>
      </c>
      <c r="D23" s="5">
        <f t="shared" si="48"/>
        <v>7276</v>
      </c>
      <c r="E23" s="5">
        <f t="shared" si="48"/>
        <v>45.800000000000011</v>
      </c>
      <c r="F23" s="5">
        <f t="shared" si="49"/>
        <v>1380.1999999999998</v>
      </c>
      <c r="G23" s="5">
        <f t="shared" si="49"/>
        <v>7704.4000000000015</v>
      </c>
      <c r="H23" s="5">
        <f t="shared" si="49"/>
        <v>39</v>
      </c>
      <c r="I23" s="5">
        <f t="shared" si="49"/>
        <v>1408.8000000000002</v>
      </c>
      <c r="J23" s="5">
        <f t="shared" si="49"/>
        <v>8167.7999999999993</v>
      </c>
      <c r="K23" s="5">
        <f t="shared" si="49"/>
        <v>43.800000000000011</v>
      </c>
      <c r="L23" s="5">
        <f t="shared" si="49"/>
        <v>1323.8000000000002</v>
      </c>
      <c r="M23" s="5">
        <f t="shared" si="49"/>
        <v>7722</v>
      </c>
      <c r="N23" s="5">
        <f t="shared" si="49"/>
        <v>53.199999999999989</v>
      </c>
      <c r="O23" s="5">
        <f t="shared" si="49"/>
        <v>1353.8000000000002</v>
      </c>
      <c r="P23" s="5">
        <f t="shared" si="49"/>
        <v>7327.4000000000015</v>
      </c>
      <c r="Q23">
        <f t="shared" si="22"/>
        <v>3.7599704919544466E-2</v>
      </c>
      <c r="R23">
        <f t="shared" si="23"/>
        <v>1.0916824196597352</v>
      </c>
      <c r="S23">
        <f t="shared" si="23"/>
        <v>5.8707178754207199</v>
      </c>
      <c r="T23">
        <f t="shared" si="24"/>
        <v>3.5113467098922282E-2</v>
      </c>
      <c r="U23">
        <f t="shared" si="24"/>
        <v>1.058157364409007</v>
      </c>
      <c r="V23">
        <f t="shared" si="24"/>
        <v>5.9067291684920704</v>
      </c>
      <c r="W23">
        <f t="shared" si="25"/>
        <v>2.8391364033445651E-2</v>
      </c>
      <c r="X23">
        <f t="shared" si="25"/>
        <v>1.0255834269312369</v>
      </c>
      <c r="Y23">
        <f t="shared" si="25"/>
        <v>5.9460252090353176</v>
      </c>
      <c r="Z23">
        <f t="shared" si="26"/>
        <v>3.373085724344306E-2</v>
      </c>
      <c r="AA23">
        <f t="shared" si="26"/>
        <v>1.0194728040837882</v>
      </c>
      <c r="AB23">
        <f t="shared" si="26"/>
        <v>5.9467963386727689</v>
      </c>
      <c r="AC23">
        <f t="shared" si="27"/>
        <v>4.2636013921963714E-2</v>
      </c>
      <c r="AD23">
        <f t="shared" si="27"/>
        <v>1.08497435427734</v>
      </c>
      <c r="AE23">
        <f t="shared" si="27"/>
        <v>5.8723896318006963</v>
      </c>
      <c r="AF23">
        <f t="shared" si="28"/>
        <v>0.33302595785882239</v>
      </c>
      <c r="AG23">
        <f t="shared" si="28"/>
        <v>9.6691871455576557</v>
      </c>
      <c r="AH23">
        <f t="shared" si="28"/>
        <v>51.99778689658352</v>
      </c>
      <c r="AI23">
        <f t="shared" si="29"/>
        <v>0.31100499430474027</v>
      </c>
      <c r="AJ23">
        <f t="shared" si="29"/>
        <v>9.372250941908348</v>
      </c>
      <c r="AK23">
        <f t="shared" si="29"/>
        <v>52.316744063786913</v>
      </c>
      <c r="AL23">
        <f t="shared" si="30"/>
        <v>0.25146636715337578</v>
      </c>
      <c r="AM23">
        <f t="shared" si="30"/>
        <v>9.0837389242480988</v>
      </c>
      <c r="AN23">
        <f t="shared" si="30"/>
        <v>52.664794708598528</v>
      </c>
      <c r="AO23">
        <f t="shared" si="31"/>
        <v>0.29875902129906712</v>
      </c>
      <c r="AP23">
        <f t="shared" si="31"/>
        <v>9.0296162647421241</v>
      </c>
      <c r="AQ23">
        <f t="shared" si="31"/>
        <v>52.671624713958806</v>
      </c>
      <c r="AR23">
        <f t="shared" si="32"/>
        <v>0.37763326616596432</v>
      </c>
      <c r="AS23">
        <f t="shared" si="32"/>
        <v>9.6097728521707264</v>
      </c>
      <c r="AT23">
        <f t="shared" si="32"/>
        <v>52.012593881663307</v>
      </c>
      <c r="AU23">
        <f t="shared" si="33"/>
        <v>3.3302595785882246E-2</v>
      </c>
      <c r="AV23">
        <f t="shared" si="33"/>
        <v>0.96691871455576561</v>
      </c>
      <c r="AW23">
        <f t="shared" si="33"/>
        <v>5.199778689658352</v>
      </c>
      <c r="AX23">
        <f t="shared" si="34"/>
        <v>3.1100499430474025E-2</v>
      </c>
      <c r="AY23">
        <f t="shared" si="34"/>
        <v>0.93722509419083488</v>
      </c>
      <c r="AZ23">
        <f t="shared" si="34"/>
        <v>5.2316744063786915</v>
      </c>
      <c r="BA23">
        <f t="shared" si="35"/>
        <v>2.5146636715337581E-2</v>
      </c>
      <c r="BB23">
        <f t="shared" si="35"/>
        <v>0.90837389242480993</v>
      </c>
      <c r="BC23">
        <f t="shared" si="35"/>
        <v>5.2664794708598528</v>
      </c>
      <c r="BD23">
        <f t="shared" si="36"/>
        <v>2.9875902129906713E-2</v>
      </c>
      <c r="BE23">
        <f t="shared" si="36"/>
        <v>0.90296162647421241</v>
      </c>
      <c r="BF23">
        <f t="shared" si="36"/>
        <v>5.2671624713958805</v>
      </c>
      <c r="BG23">
        <f t="shared" si="37"/>
        <v>3.7763326616596433E-2</v>
      </c>
      <c r="BH23">
        <f t="shared" si="37"/>
        <v>0.96097728521707271</v>
      </c>
      <c r="BI23">
        <f t="shared" si="37"/>
        <v>5.2012593881663314</v>
      </c>
      <c r="BJ23">
        <f t="shared" si="38"/>
        <v>15.039881967817786</v>
      </c>
      <c r="BK23">
        <f t="shared" si="50"/>
        <v>436.67296786389409</v>
      </c>
      <c r="BL23">
        <f t="shared" si="39"/>
        <v>2348.287150168288</v>
      </c>
      <c r="BM23">
        <f t="shared" si="40"/>
        <v>14.045386839568915</v>
      </c>
      <c r="BN23">
        <f t="shared" si="40"/>
        <v>423.26294576360283</v>
      </c>
      <c r="BO23">
        <f t="shared" si="40"/>
        <v>2362.6916673968285</v>
      </c>
      <c r="BP23">
        <f t="shared" si="41"/>
        <v>11.356545613378261</v>
      </c>
      <c r="BQ23">
        <f t="shared" si="41"/>
        <v>410.23337077249477</v>
      </c>
      <c r="BR23">
        <f t="shared" si="41"/>
        <v>2378.410083614127</v>
      </c>
      <c r="BS23">
        <f t="shared" si="42"/>
        <v>13.492342897377226</v>
      </c>
      <c r="BT23">
        <f t="shared" si="42"/>
        <v>407.78912163351526</v>
      </c>
      <c r="BU23">
        <f t="shared" si="42"/>
        <v>2378.7185354691073</v>
      </c>
      <c r="BV23">
        <f t="shared" si="43"/>
        <v>17.054405568785484</v>
      </c>
      <c r="BW23">
        <f t="shared" si="43"/>
        <v>433.98974171093602</v>
      </c>
      <c r="BX23">
        <f t="shared" si="43"/>
        <v>2348.9558527202785</v>
      </c>
    </row>
    <row r="24" spans="1:76" x14ac:dyDescent="0.35">
      <c r="A24">
        <v>2045</v>
      </c>
      <c r="B24" s="5">
        <v>47</v>
      </c>
      <c r="C24" s="5">
        <v>1345</v>
      </c>
      <c r="D24" s="5">
        <v>7304</v>
      </c>
      <c r="E24" s="5">
        <v>46</v>
      </c>
      <c r="F24" s="5">
        <v>1373</v>
      </c>
      <c r="G24" s="5">
        <v>7755</v>
      </c>
      <c r="H24" s="5">
        <v>39</v>
      </c>
      <c r="I24" s="5">
        <v>1403</v>
      </c>
      <c r="J24" s="5">
        <v>8246</v>
      </c>
      <c r="K24" s="5">
        <v>44</v>
      </c>
      <c r="L24" s="5">
        <v>1314</v>
      </c>
      <c r="M24" s="5">
        <v>7775</v>
      </c>
      <c r="N24" s="5">
        <v>54</v>
      </c>
      <c r="O24" s="5">
        <v>1346</v>
      </c>
      <c r="P24" s="5">
        <v>7358</v>
      </c>
      <c r="Q24">
        <f t="shared" si="22"/>
        <v>3.7833486660533579E-2</v>
      </c>
      <c r="R24">
        <f t="shared" si="23"/>
        <v>1.0826816927322906</v>
      </c>
      <c r="S24">
        <f t="shared" si="23"/>
        <v>5.8794848206071757</v>
      </c>
      <c r="T24">
        <f t="shared" si="24"/>
        <v>3.5099193372574666E-2</v>
      </c>
      <c r="U24">
        <f t="shared" si="24"/>
        <v>1.0476346195770656</v>
      </c>
      <c r="V24">
        <f t="shared" si="24"/>
        <v>5.9172661870503598</v>
      </c>
      <c r="W24">
        <f t="shared" si="25"/>
        <v>2.817919075144509E-2</v>
      </c>
      <c r="X24">
        <f t="shared" si="25"/>
        <v>1.0137283236994219</v>
      </c>
      <c r="Y24">
        <f t="shared" si="25"/>
        <v>5.9580924855491331</v>
      </c>
      <c r="Z24">
        <f t="shared" si="26"/>
        <v>3.3723858534983026E-2</v>
      </c>
      <c r="AA24">
        <f t="shared" si="26"/>
        <v>1.0071170480674478</v>
      </c>
      <c r="AB24">
        <f t="shared" si="26"/>
        <v>5.9591590933975693</v>
      </c>
      <c r="AC24">
        <f t="shared" si="27"/>
        <v>4.3160538935830099E-2</v>
      </c>
      <c r="AD24">
        <f t="shared" si="27"/>
        <v>1.0758163964375429</v>
      </c>
      <c r="AE24">
        <f t="shared" si="27"/>
        <v>5.8810230646266266</v>
      </c>
      <c r="AF24">
        <f t="shared" si="28"/>
        <v>0.33509659613615456</v>
      </c>
      <c r="AG24">
        <f t="shared" si="28"/>
        <v>9.5894664213431451</v>
      </c>
      <c r="AH24">
        <f t="shared" si="28"/>
        <v>52.075436982520699</v>
      </c>
      <c r="AI24">
        <f t="shared" si="29"/>
        <v>0.31087856987137558</v>
      </c>
      <c r="AJ24">
        <f t="shared" si="29"/>
        <v>9.2790494876825811</v>
      </c>
      <c r="AK24">
        <f t="shared" si="29"/>
        <v>52.410071942446038</v>
      </c>
      <c r="AL24">
        <f t="shared" si="30"/>
        <v>0.24958711808422793</v>
      </c>
      <c r="AM24">
        <f t="shared" si="30"/>
        <v>8.9787365813377384</v>
      </c>
      <c r="AN24">
        <f t="shared" si="30"/>
        <v>52.771676300578036</v>
      </c>
      <c r="AO24">
        <f t="shared" si="31"/>
        <v>0.29869703273842108</v>
      </c>
      <c r="AP24">
        <f t="shared" si="31"/>
        <v>8.9201795685973941</v>
      </c>
      <c r="AQ24">
        <f t="shared" si="31"/>
        <v>52.781123398664185</v>
      </c>
      <c r="AR24">
        <f t="shared" si="32"/>
        <v>0.38227905914592375</v>
      </c>
      <c r="AS24">
        <f t="shared" si="32"/>
        <v>9.5286595113039514</v>
      </c>
      <c r="AT24">
        <f t="shared" si="32"/>
        <v>52.089061429550128</v>
      </c>
      <c r="AU24">
        <f t="shared" si="33"/>
        <v>3.3509659613615454E-2</v>
      </c>
      <c r="AV24">
        <f t="shared" si="33"/>
        <v>0.95894664213431458</v>
      </c>
      <c r="AW24">
        <f t="shared" si="33"/>
        <v>5.2075436982520698</v>
      </c>
      <c r="AX24">
        <f t="shared" si="34"/>
        <v>3.108785698713756E-2</v>
      </c>
      <c r="AY24">
        <f t="shared" si="34"/>
        <v>0.92790494876825813</v>
      </c>
      <c r="AZ24">
        <f t="shared" si="34"/>
        <v>5.2410071942446042</v>
      </c>
      <c r="BA24">
        <f t="shared" si="35"/>
        <v>2.4958711808422795E-2</v>
      </c>
      <c r="BB24">
        <f t="shared" si="35"/>
        <v>0.89787365813377384</v>
      </c>
      <c r="BC24">
        <f t="shared" si="35"/>
        <v>5.2771676300578036</v>
      </c>
      <c r="BD24">
        <f t="shared" si="36"/>
        <v>2.986970327384211E-2</v>
      </c>
      <c r="BE24">
        <f t="shared" si="36"/>
        <v>0.8920179568597395</v>
      </c>
      <c r="BF24">
        <f t="shared" si="36"/>
        <v>5.2781123398664187</v>
      </c>
      <c r="BG24">
        <f t="shared" si="37"/>
        <v>3.8227905914592374E-2</v>
      </c>
      <c r="BH24">
        <f t="shared" si="37"/>
        <v>0.95286595113039518</v>
      </c>
      <c r="BI24">
        <f t="shared" si="37"/>
        <v>5.208906142955013</v>
      </c>
      <c r="BJ24">
        <f t="shared" si="38"/>
        <v>15.13339466421343</v>
      </c>
      <c r="BK24">
        <f t="shared" si="50"/>
        <v>433.07267709291625</v>
      </c>
      <c r="BL24">
        <f t="shared" si="39"/>
        <v>2351.7939282428702</v>
      </c>
      <c r="BM24">
        <f t="shared" si="40"/>
        <v>14.039677349029866</v>
      </c>
      <c r="BN24">
        <f t="shared" si="40"/>
        <v>419.05384783082627</v>
      </c>
      <c r="BO24">
        <f t="shared" si="40"/>
        <v>2366.9064748201436</v>
      </c>
      <c r="BP24">
        <f t="shared" si="41"/>
        <v>11.271676300578036</v>
      </c>
      <c r="BQ24">
        <f t="shared" si="41"/>
        <v>405.49132947976881</v>
      </c>
      <c r="BR24">
        <f t="shared" si="41"/>
        <v>2383.2369942196533</v>
      </c>
      <c r="BS24">
        <f t="shared" si="42"/>
        <v>13.489543413993211</v>
      </c>
      <c r="BT24">
        <f t="shared" si="42"/>
        <v>402.84681922697911</v>
      </c>
      <c r="BU24">
        <f t="shared" si="42"/>
        <v>2383.6636373590277</v>
      </c>
      <c r="BV24">
        <f t="shared" si="43"/>
        <v>17.264215574332038</v>
      </c>
      <c r="BW24">
        <f t="shared" si="43"/>
        <v>430.32655857501715</v>
      </c>
      <c r="BX24">
        <f t="shared" si="43"/>
        <v>2352.4092258506507</v>
      </c>
    </row>
    <row r="25" spans="1:76" x14ac:dyDescent="0.35">
      <c r="A25">
        <v>2046</v>
      </c>
      <c r="B25" s="5">
        <f t="shared" ref="B25:E28" si="51">B24+((B$29-B$24)/5)</f>
        <v>47.4</v>
      </c>
      <c r="C25" s="5">
        <f t="shared" si="51"/>
        <v>1335.4</v>
      </c>
      <c r="D25" s="5">
        <f t="shared" si="51"/>
        <v>7322.8</v>
      </c>
      <c r="E25" s="5">
        <f>E24+((E$29-E$24)/5)</f>
        <v>46.4</v>
      </c>
      <c r="F25" s="5">
        <f t="shared" ref="F25:P28" si="52">F24+((F$29-F$24)/5)</f>
        <v>1364.4</v>
      </c>
      <c r="G25" s="5">
        <f t="shared" si="52"/>
        <v>7798</v>
      </c>
      <c r="H25" s="5">
        <f t="shared" si="52"/>
        <v>39</v>
      </c>
      <c r="I25" s="5">
        <f t="shared" si="52"/>
        <v>1396.2</v>
      </c>
      <c r="J25" s="5">
        <f t="shared" si="52"/>
        <v>8322</v>
      </c>
      <c r="K25" s="5">
        <f t="shared" si="52"/>
        <v>44.2</v>
      </c>
      <c r="L25" s="5">
        <f t="shared" si="52"/>
        <v>1302.4000000000001</v>
      </c>
      <c r="M25" s="5">
        <f t="shared" si="52"/>
        <v>7821</v>
      </c>
      <c r="N25" s="5">
        <f t="shared" si="52"/>
        <v>54.6</v>
      </c>
      <c r="O25" s="5">
        <f t="shared" si="52"/>
        <v>1336.4</v>
      </c>
      <c r="P25" s="5">
        <f t="shared" si="52"/>
        <v>7380.2</v>
      </c>
      <c r="Q25">
        <f t="shared" si="22"/>
        <v>3.8113398272376399E-2</v>
      </c>
      <c r="R25">
        <f t="shared" si="23"/>
        <v>1.073768608711634</v>
      </c>
      <c r="S25">
        <f t="shared" si="23"/>
        <v>5.8881179930159897</v>
      </c>
      <c r="T25">
        <f t="shared" si="24"/>
        <v>3.5270610720180701E-2</v>
      </c>
      <c r="U25">
        <f t="shared" si="24"/>
        <v>1.0371383893666928</v>
      </c>
      <c r="V25">
        <f t="shared" si="24"/>
        <v>5.9275909999131269</v>
      </c>
      <c r="W25">
        <f t="shared" si="25"/>
        <v>2.7979338334768171E-2</v>
      </c>
      <c r="X25">
        <f t="shared" si="25"/>
        <v>1.0016603123847005</v>
      </c>
      <c r="Y25">
        <f t="shared" si="25"/>
        <v>5.9703603492805311</v>
      </c>
      <c r="Z25">
        <f t="shared" si="26"/>
        <v>3.3749290981281904E-2</v>
      </c>
      <c r="AA25">
        <f t="shared" si="26"/>
        <v>0.99445874601858719</v>
      </c>
      <c r="AB25">
        <f t="shared" si="26"/>
        <v>5.9717919630001308</v>
      </c>
      <c r="AC25">
        <f t="shared" si="27"/>
        <v>4.3574425392192626E-2</v>
      </c>
      <c r="AD25">
        <f t="shared" si="27"/>
        <v>1.0665359357898576</v>
      </c>
      <c r="AE25">
        <f t="shared" si="27"/>
        <v>5.8898896388179489</v>
      </c>
      <c r="AF25">
        <f t="shared" si="28"/>
        <v>0.33757581326961955</v>
      </c>
      <c r="AG25">
        <f t="shared" si="28"/>
        <v>9.5105219628744724</v>
      </c>
      <c r="AH25">
        <f t="shared" si="28"/>
        <v>52.151902223855913</v>
      </c>
      <c r="AI25">
        <f t="shared" si="29"/>
        <v>0.31239683780731475</v>
      </c>
      <c r="AJ25">
        <f t="shared" si="29"/>
        <v>9.186082877247852</v>
      </c>
      <c r="AK25">
        <f t="shared" si="29"/>
        <v>52.501520284944839</v>
      </c>
      <c r="AL25">
        <f t="shared" si="30"/>
        <v>0.24781699667937523</v>
      </c>
      <c r="AM25">
        <f t="shared" si="30"/>
        <v>8.8718484811216332</v>
      </c>
      <c r="AN25">
        <f t="shared" si="30"/>
        <v>52.880334522198993</v>
      </c>
      <c r="AO25">
        <f t="shared" si="31"/>
        <v>0.29892229154849687</v>
      </c>
      <c r="AP25">
        <f t="shared" si="31"/>
        <v>8.8080631790217723</v>
      </c>
      <c r="AQ25">
        <f t="shared" si="31"/>
        <v>52.893014529429728</v>
      </c>
      <c r="AR25">
        <f t="shared" si="32"/>
        <v>0.38594491061656327</v>
      </c>
      <c r="AS25">
        <f t="shared" si="32"/>
        <v>9.4464611455673104</v>
      </c>
      <c r="AT25">
        <f t="shared" si="32"/>
        <v>52.167593943816122</v>
      </c>
      <c r="AU25">
        <f t="shared" si="33"/>
        <v>3.3757581326961959E-2</v>
      </c>
      <c r="AV25">
        <f t="shared" si="33"/>
        <v>0.95105219628744719</v>
      </c>
      <c r="AW25">
        <f t="shared" si="33"/>
        <v>5.2151902223855915</v>
      </c>
      <c r="AX25">
        <f t="shared" si="34"/>
        <v>3.1239683780731477E-2</v>
      </c>
      <c r="AY25">
        <f t="shared" si="34"/>
        <v>0.9186082877247852</v>
      </c>
      <c r="AZ25">
        <f t="shared" si="34"/>
        <v>5.250152028494484</v>
      </c>
      <c r="BA25">
        <f t="shared" si="35"/>
        <v>2.4781699667937526E-2</v>
      </c>
      <c r="BB25">
        <f t="shared" si="35"/>
        <v>0.88718484811216336</v>
      </c>
      <c r="BC25">
        <f t="shared" si="35"/>
        <v>5.2880334522198993</v>
      </c>
      <c r="BD25">
        <f t="shared" si="36"/>
        <v>2.9892229154849688E-2</v>
      </c>
      <c r="BE25">
        <f t="shared" si="36"/>
        <v>0.88080631790217723</v>
      </c>
      <c r="BF25">
        <f t="shared" si="36"/>
        <v>5.2893014529429729</v>
      </c>
      <c r="BG25">
        <f t="shared" si="37"/>
        <v>3.8594491061656327E-2</v>
      </c>
      <c r="BH25">
        <f t="shared" si="37"/>
        <v>0.94464611455673109</v>
      </c>
      <c r="BI25">
        <f t="shared" si="37"/>
        <v>5.2167593943816124</v>
      </c>
      <c r="BJ25">
        <f t="shared" si="38"/>
        <v>15.24535930895056</v>
      </c>
      <c r="BK25">
        <f t="shared" si="50"/>
        <v>429.50744348465361</v>
      </c>
      <c r="BL25">
        <f t="shared" si="39"/>
        <v>2355.2471972063959</v>
      </c>
      <c r="BM25">
        <f t="shared" si="40"/>
        <v>14.108244288072278</v>
      </c>
      <c r="BN25">
        <f t="shared" si="40"/>
        <v>414.85535574667716</v>
      </c>
      <c r="BO25">
        <f t="shared" si="40"/>
        <v>2371.0363999652509</v>
      </c>
      <c r="BP25">
        <f t="shared" si="41"/>
        <v>11.191735333907269</v>
      </c>
      <c r="BQ25">
        <f t="shared" si="41"/>
        <v>400.66412495388022</v>
      </c>
      <c r="BR25">
        <f t="shared" si="41"/>
        <v>2388.1441397122126</v>
      </c>
      <c r="BS25">
        <f t="shared" si="42"/>
        <v>13.499716392512761</v>
      </c>
      <c r="BT25">
        <f t="shared" si="42"/>
        <v>397.78349840743488</v>
      </c>
      <c r="BU25">
        <f t="shared" si="42"/>
        <v>2388.7167852000521</v>
      </c>
      <c r="BV25">
        <f t="shared" si="43"/>
        <v>17.429770156877051</v>
      </c>
      <c r="BW25">
        <f t="shared" si="43"/>
        <v>426.61437431594305</v>
      </c>
      <c r="BX25">
        <f t="shared" si="43"/>
        <v>2355.9558555271797</v>
      </c>
    </row>
    <row r="26" spans="1:76" x14ac:dyDescent="0.35">
      <c r="A26">
        <v>2047</v>
      </c>
      <c r="B26" s="5">
        <f t="shared" si="51"/>
        <v>47.8</v>
      </c>
      <c r="C26" s="5">
        <f t="shared" si="51"/>
        <v>1325.8000000000002</v>
      </c>
      <c r="D26" s="5">
        <f t="shared" si="51"/>
        <v>7341.6</v>
      </c>
      <c r="E26" s="5">
        <f t="shared" si="51"/>
        <v>46.8</v>
      </c>
      <c r="F26" s="5">
        <f t="shared" si="52"/>
        <v>1355.8000000000002</v>
      </c>
      <c r="G26" s="5">
        <f t="shared" si="52"/>
        <v>7841</v>
      </c>
      <c r="H26" s="5">
        <f t="shared" si="52"/>
        <v>39</v>
      </c>
      <c r="I26" s="5">
        <f t="shared" si="52"/>
        <v>1389.4</v>
      </c>
      <c r="J26" s="5">
        <f t="shared" si="52"/>
        <v>8398</v>
      </c>
      <c r="K26" s="5">
        <f t="shared" si="52"/>
        <v>44.400000000000006</v>
      </c>
      <c r="L26" s="5">
        <f t="shared" si="52"/>
        <v>1290.8000000000002</v>
      </c>
      <c r="M26" s="5">
        <f t="shared" si="52"/>
        <v>7867</v>
      </c>
      <c r="N26" s="5">
        <f t="shared" si="52"/>
        <v>55.2</v>
      </c>
      <c r="O26" s="5">
        <f t="shared" si="52"/>
        <v>1326.8000000000002</v>
      </c>
      <c r="P26" s="5">
        <f t="shared" si="52"/>
        <v>7402.4</v>
      </c>
      <c r="Q26">
        <f t="shared" si="22"/>
        <v>3.8392693225628778E-2</v>
      </c>
      <c r="R26">
        <f t="shared" si="23"/>
        <v>1.064875160638884</v>
      </c>
      <c r="S26">
        <f t="shared" si="23"/>
        <v>5.8967321461354869</v>
      </c>
      <c r="T26">
        <f t="shared" si="24"/>
        <v>3.544073737504868E-2</v>
      </c>
      <c r="U26">
        <f t="shared" si="24"/>
        <v>1.0267211908780129</v>
      </c>
      <c r="V26">
        <f t="shared" si="24"/>
        <v>5.9378380717469383</v>
      </c>
      <c r="W26">
        <f t="shared" si="25"/>
        <v>2.7782300740861354E-2</v>
      </c>
      <c r="X26">
        <f t="shared" si="25"/>
        <v>0.98976227306032738</v>
      </c>
      <c r="Y26">
        <f t="shared" si="25"/>
        <v>5.9824554261988121</v>
      </c>
      <c r="Z26">
        <f t="shared" si="26"/>
        <v>3.377453217708809E-2</v>
      </c>
      <c r="AA26">
        <f t="shared" si="26"/>
        <v>0.98189563365282218</v>
      </c>
      <c r="AB26">
        <f t="shared" si="26"/>
        <v>5.9843298341700892</v>
      </c>
      <c r="AC26">
        <f t="shared" si="27"/>
        <v>4.3987067984153728E-2</v>
      </c>
      <c r="AD26">
        <f t="shared" si="27"/>
        <v>1.0572833659669416</v>
      </c>
      <c r="AE26">
        <f t="shared" si="27"/>
        <v>5.898729566048905</v>
      </c>
      <c r="AF26">
        <f t="shared" si="28"/>
        <v>0.34004956856985491</v>
      </c>
      <c r="AG26">
        <f t="shared" si="28"/>
        <v>9.4317514228015433</v>
      </c>
      <c r="AH26">
        <f t="shared" si="28"/>
        <v>52.2281990086286</v>
      </c>
      <c r="AI26">
        <f t="shared" si="29"/>
        <v>0.31390367389328827</v>
      </c>
      <c r="AJ26">
        <f t="shared" si="29"/>
        <v>9.0938162620624006</v>
      </c>
      <c r="AK26">
        <f t="shared" si="29"/>
        <v>52.59228006404431</v>
      </c>
      <c r="AL26">
        <f t="shared" si="30"/>
        <v>0.24607180656191485</v>
      </c>
      <c r="AM26">
        <f t="shared" si="30"/>
        <v>8.7664658471057564</v>
      </c>
      <c r="AN26">
        <f t="shared" si="30"/>
        <v>52.987462346332336</v>
      </c>
      <c r="AO26">
        <f t="shared" si="31"/>
        <v>0.29914585642563735</v>
      </c>
      <c r="AP26">
        <f t="shared" si="31"/>
        <v>8.6967898980678537</v>
      </c>
      <c r="AQ26">
        <f t="shared" si="31"/>
        <v>53.004064245506505</v>
      </c>
      <c r="AR26">
        <f t="shared" si="32"/>
        <v>0.38959974500250444</v>
      </c>
      <c r="AS26">
        <f t="shared" si="32"/>
        <v>9.3645098128500539</v>
      </c>
      <c r="AT26">
        <f t="shared" si="32"/>
        <v>52.245890442147441</v>
      </c>
      <c r="AU26">
        <f t="shared" si="33"/>
        <v>3.4004956856985492E-2</v>
      </c>
      <c r="AV26">
        <f t="shared" si="33"/>
        <v>0.94317514228015431</v>
      </c>
      <c r="AW26">
        <f t="shared" si="33"/>
        <v>5.2228199008628602</v>
      </c>
      <c r="AX26">
        <f t="shared" si="34"/>
        <v>3.1390367389328828E-2</v>
      </c>
      <c r="AY26">
        <f t="shared" si="34"/>
        <v>0.90938162620624008</v>
      </c>
      <c r="AZ26">
        <f t="shared" si="34"/>
        <v>5.259228006404431</v>
      </c>
      <c r="BA26">
        <f t="shared" si="35"/>
        <v>2.4607180656191486E-2</v>
      </c>
      <c r="BB26">
        <f t="shared" si="35"/>
        <v>0.87664658471057566</v>
      </c>
      <c r="BC26">
        <f t="shared" si="35"/>
        <v>5.2987462346332332</v>
      </c>
      <c r="BD26">
        <f t="shared" si="36"/>
        <v>2.9914585642563735E-2</v>
      </c>
      <c r="BE26">
        <f t="shared" si="36"/>
        <v>0.86967898980678537</v>
      </c>
      <c r="BF26">
        <f t="shared" si="36"/>
        <v>5.3004064245506504</v>
      </c>
      <c r="BG26">
        <f t="shared" si="37"/>
        <v>3.8959974500250447E-2</v>
      </c>
      <c r="BH26">
        <f t="shared" si="37"/>
        <v>0.93645098128500537</v>
      </c>
      <c r="BI26">
        <f t="shared" si="37"/>
        <v>5.2245890442147447</v>
      </c>
      <c r="BJ26">
        <f t="shared" si="38"/>
        <v>15.357077290251512</v>
      </c>
      <c r="BK26">
        <f t="shared" si="50"/>
        <v>425.95006425555357</v>
      </c>
      <c r="BL26">
        <f t="shared" si="39"/>
        <v>2358.6928584541947</v>
      </c>
      <c r="BM26">
        <f t="shared" si="40"/>
        <v>14.176294950019471</v>
      </c>
      <c r="BN26">
        <f t="shared" si="40"/>
        <v>410.68847635120517</v>
      </c>
      <c r="BO26">
        <f t="shared" si="40"/>
        <v>2375.1352286987753</v>
      </c>
      <c r="BP26">
        <f t="shared" si="41"/>
        <v>11.112920296344541</v>
      </c>
      <c r="BQ26">
        <f t="shared" si="41"/>
        <v>395.90490922413096</v>
      </c>
      <c r="BR26">
        <f t="shared" si="41"/>
        <v>2392.9821704795249</v>
      </c>
      <c r="BS26">
        <f t="shared" si="42"/>
        <v>13.509812870835235</v>
      </c>
      <c r="BT26">
        <f t="shared" si="42"/>
        <v>392.7582534611289</v>
      </c>
      <c r="BU26">
        <f t="shared" si="42"/>
        <v>2393.7319336680357</v>
      </c>
      <c r="BV26">
        <f t="shared" si="43"/>
        <v>17.594827193661491</v>
      </c>
      <c r="BW26">
        <f t="shared" si="43"/>
        <v>422.9133463867766</v>
      </c>
      <c r="BX26">
        <f t="shared" si="43"/>
        <v>2359.4918264195621</v>
      </c>
    </row>
    <row r="27" spans="1:76" x14ac:dyDescent="0.35">
      <c r="A27">
        <v>2048</v>
      </c>
      <c r="B27" s="5">
        <f t="shared" si="51"/>
        <v>48.199999999999996</v>
      </c>
      <c r="C27" s="5">
        <f t="shared" si="51"/>
        <v>1316.2000000000003</v>
      </c>
      <c r="D27" s="5">
        <f t="shared" si="51"/>
        <v>7360.4000000000005</v>
      </c>
      <c r="E27" s="5">
        <f t="shared" si="51"/>
        <v>47.199999999999996</v>
      </c>
      <c r="F27" s="5">
        <f t="shared" si="52"/>
        <v>1347.2000000000003</v>
      </c>
      <c r="G27" s="5">
        <f t="shared" si="52"/>
        <v>7884</v>
      </c>
      <c r="H27" s="5">
        <f t="shared" si="52"/>
        <v>39</v>
      </c>
      <c r="I27" s="5">
        <f t="shared" si="52"/>
        <v>1382.6000000000001</v>
      </c>
      <c r="J27" s="5">
        <f t="shared" si="52"/>
        <v>8474</v>
      </c>
      <c r="K27" s="5">
        <f t="shared" si="52"/>
        <v>44.600000000000009</v>
      </c>
      <c r="L27" s="5">
        <f t="shared" si="52"/>
        <v>1279.2000000000003</v>
      </c>
      <c r="M27" s="5">
        <f t="shared" si="52"/>
        <v>7913</v>
      </c>
      <c r="N27" s="5">
        <f t="shared" si="52"/>
        <v>55.800000000000004</v>
      </c>
      <c r="O27" s="5">
        <f t="shared" si="52"/>
        <v>1317.2000000000003</v>
      </c>
      <c r="P27" s="5">
        <f t="shared" si="52"/>
        <v>7424.5999999999995</v>
      </c>
      <c r="Q27">
        <f t="shared" si="22"/>
        <v>3.8671373555840813E-2</v>
      </c>
      <c r="R27">
        <f t="shared" si="23"/>
        <v>1.0560012836970476</v>
      </c>
      <c r="S27">
        <f t="shared" si="23"/>
        <v>5.9053273427471114</v>
      </c>
      <c r="T27">
        <f t="shared" si="24"/>
        <v>3.5609587859975859E-2</v>
      </c>
      <c r="U27">
        <f t="shared" si="24"/>
        <v>1.0163821348508366</v>
      </c>
      <c r="V27">
        <f t="shared" si="24"/>
        <v>5.9480082772891887</v>
      </c>
      <c r="W27">
        <f t="shared" si="25"/>
        <v>2.7588018917498684E-2</v>
      </c>
      <c r="X27">
        <f t="shared" si="25"/>
        <v>0.97803063988035088</v>
      </c>
      <c r="Y27">
        <f t="shared" si="25"/>
        <v>5.9943813412021498</v>
      </c>
      <c r="Z27">
        <f t="shared" si="26"/>
        <v>3.3799584271609229E-2</v>
      </c>
      <c r="AA27">
        <f t="shared" si="26"/>
        <v>0.96942664126104305</v>
      </c>
      <c r="AB27">
        <f t="shared" si="26"/>
        <v>5.9967737744673482</v>
      </c>
      <c r="AC27">
        <f t="shared" si="27"/>
        <v>4.4398472310630176E-2</v>
      </c>
      <c r="AD27">
        <f t="shared" si="27"/>
        <v>1.0480585614258435</v>
      </c>
      <c r="AE27">
        <f t="shared" si="27"/>
        <v>5.9075429662635255</v>
      </c>
      <c r="AF27">
        <f t="shared" si="28"/>
        <v>0.34251788006601863</v>
      </c>
      <c r="AG27">
        <f t="shared" si="28"/>
        <v>9.3531542270309931</v>
      </c>
      <c r="AH27">
        <f t="shared" si="28"/>
        <v>52.30432789290299</v>
      </c>
      <c r="AI27">
        <f t="shared" si="29"/>
        <v>0.31539920675978617</v>
      </c>
      <c r="AJ27">
        <f t="shared" si="29"/>
        <v>9.0022417658216956</v>
      </c>
      <c r="AK27">
        <f t="shared" si="29"/>
        <v>52.682359027418528</v>
      </c>
      <c r="AL27">
        <f t="shared" si="30"/>
        <v>0.24435102469784548</v>
      </c>
      <c r="AM27">
        <f t="shared" si="30"/>
        <v>8.6625570960831091</v>
      </c>
      <c r="AN27">
        <f t="shared" si="30"/>
        <v>53.093091879219045</v>
      </c>
      <c r="AO27">
        <f t="shared" si="31"/>
        <v>0.2993677464056817</v>
      </c>
      <c r="AP27">
        <f t="shared" si="31"/>
        <v>8.5863502511692396</v>
      </c>
      <c r="AQ27">
        <f t="shared" si="31"/>
        <v>53.114282002425085</v>
      </c>
      <c r="AR27">
        <f t="shared" si="32"/>
        <v>0.39324361189415297</v>
      </c>
      <c r="AS27">
        <f t="shared" si="32"/>
        <v>9.2828044012003286</v>
      </c>
      <c r="AT27">
        <f t="shared" si="32"/>
        <v>52.323951986905513</v>
      </c>
      <c r="AU27">
        <f t="shared" si="33"/>
        <v>3.4251788006601863E-2</v>
      </c>
      <c r="AV27">
        <f t="shared" si="33"/>
        <v>0.93531542270309931</v>
      </c>
      <c r="AW27">
        <f t="shared" si="33"/>
        <v>5.2304327892902993</v>
      </c>
      <c r="AX27">
        <f t="shared" si="34"/>
        <v>3.1539920675978619E-2</v>
      </c>
      <c r="AY27">
        <f t="shared" si="34"/>
        <v>0.90022417658216958</v>
      </c>
      <c r="AZ27">
        <f t="shared" si="34"/>
        <v>5.2682359027418526</v>
      </c>
      <c r="BA27">
        <f t="shared" si="35"/>
        <v>2.4435102469784548E-2</v>
      </c>
      <c r="BB27">
        <f t="shared" si="35"/>
        <v>0.86625570960831089</v>
      </c>
      <c r="BC27">
        <f t="shared" si="35"/>
        <v>5.3093091879219045</v>
      </c>
      <c r="BD27">
        <f t="shared" si="36"/>
        <v>2.9936774640568174E-2</v>
      </c>
      <c r="BE27">
        <f t="shared" si="36"/>
        <v>0.85863502511692391</v>
      </c>
      <c r="BF27">
        <f t="shared" si="36"/>
        <v>5.3114282002425091</v>
      </c>
      <c r="BG27">
        <f t="shared" si="37"/>
        <v>3.9324361189415298E-2</v>
      </c>
      <c r="BH27">
        <f t="shared" si="37"/>
        <v>0.92828044012003286</v>
      </c>
      <c r="BI27">
        <f t="shared" si="37"/>
        <v>5.2323951986905515</v>
      </c>
      <c r="BJ27">
        <f t="shared" si="38"/>
        <v>15.468549422336325</v>
      </c>
      <c r="BK27">
        <f t="shared" si="50"/>
        <v>422.40051347881899</v>
      </c>
      <c r="BL27">
        <f t="shared" si="39"/>
        <v>2362.1309370988447</v>
      </c>
      <c r="BM27">
        <f t="shared" si="40"/>
        <v>14.243835143990342</v>
      </c>
      <c r="BN27">
        <f t="shared" si="40"/>
        <v>406.55285394033461</v>
      </c>
      <c r="BO27">
        <f t="shared" si="40"/>
        <v>2379.2033109156755</v>
      </c>
      <c r="BP27">
        <f t="shared" si="41"/>
        <v>11.035207566999473</v>
      </c>
      <c r="BQ27">
        <f t="shared" si="41"/>
        <v>391.21225595214037</v>
      </c>
      <c r="BR27">
        <f t="shared" si="41"/>
        <v>2397.7525364808603</v>
      </c>
      <c r="BS27">
        <f t="shared" si="42"/>
        <v>13.519833708643691</v>
      </c>
      <c r="BT27">
        <f t="shared" si="42"/>
        <v>387.77065650441722</v>
      </c>
      <c r="BU27">
        <f t="shared" si="42"/>
        <v>2398.7095097869392</v>
      </c>
      <c r="BV27">
        <f t="shared" si="43"/>
        <v>17.759388924252068</v>
      </c>
      <c r="BW27">
        <f t="shared" si="43"/>
        <v>419.22342457033744</v>
      </c>
      <c r="BX27">
        <f t="shared" si="43"/>
        <v>2363.0171865054103</v>
      </c>
    </row>
    <row r="28" spans="1:76" x14ac:dyDescent="0.35">
      <c r="A28">
        <v>2049</v>
      </c>
      <c r="B28" s="5">
        <f t="shared" si="51"/>
        <v>48.599999999999994</v>
      </c>
      <c r="C28" s="5">
        <f t="shared" si="51"/>
        <v>1306.6000000000004</v>
      </c>
      <c r="D28" s="5">
        <f t="shared" si="51"/>
        <v>7379.2000000000007</v>
      </c>
      <c r="E28" s="5">
        <f t="shared" si="51"/>
        <v>47.599999999999994</v>
      </c>
      <c r="F28" s="5">
        <f t="shared" si="52"/>
        <v>1338.6000000000004</v>
      </c>
      <c r="G28" s="5">
        <f t="shared" si="52"/>
        <v>7927</v>
      </c>
      <c r="H28" s="5">
        <f t="shared" si="52"/>
        <v>39</v>
      </c>
      <c r="I28" s="5">
        <f t="shared" si="52"/>
        <v>1375.8000000000002</v>
      </c>
      <c r="J28" s="5">
        <f t="shared" si="52"/>
        <v>8550</v>
      </c>
      <c r="K28" s="5">
        <f t="shared" si="52"/>
        <v>44.800000000000011</v>
      </c>
      <c r="L28" s="5">
        <f t="shared" si="52"/>
        <v>1267.6000000000004</v>
      </c>
      <c r="M28" s="5">
        <f t="shared" si="52"/>
        <v>7959</v>
      </c>
      <c r="N28" s="5">
        <f t="shared" si="52"/>
        <v>56.400000000000006</v>
      </c>
      <c r="O28" s="5">
        <f t="shared" si="52"/>
        <v>1307.6000000000004</v>
      </c>
      <c r="P28" s="5">
        <f t="shared" si="52"/>
        <v>7446.7999999999993</v>
      </c>
      <c r="Q28">
        <f t="shared" si="22"/>
        <v>3.8949441289613473E-2</v>
      </c>
      <c r="R28">
        <f t="shared" si="23"/>
        <v>1.0471469133540943</v>
      </c>
      <c r="S28">
        <f t="shared" si="23"/>
        <v>5.9139036453562923</v>
      </c>
      <c r="T28">
        <f t="shared" si="24"/>
        <v>3.5777176480694062E-2</v>
      </c>
      <c r="U28">
        <f t="shared" si="24"/>
        <v>1.0061203453163254</v>
      </c>
      <c r="V28">
        <f t="shared" si="24"/>
        <v>5.9581024782029806</v>
      </c>
      <c r="W28">
        <f t="shared" si="25"/>
        <v>2.7396435452793834E-2</v>
      </c>
      <c r="X28">
        <f t="shared" si="25"/>
        <v>0.9664619460500965</v>
      </c>
      <c r="Y28">
        <f t="shared" si="25"/>
        <v>6.0061416184971108</v>
      </c>
      <c r="Z28">
        <f t="shared" si="26"/>
        <v>3.3824449381970371E-2</v>
      </c>
      <c r="AA28">
        <f t="shared" si="26"/>
        <v>0.95705071510235817</v>
      </c>
      <c r="AB28">
        <f t="shared" si="26"/>
        <v>6.0091248355156717</v>
      </c>
      <c r="AC28">
        <f t="shared" si="27"/>
        <v>4.4808643936986435E-2</v>
      </c>
      <c r="AD28">
        <f t="shared" si="27"/>
        <v>1.038861397375948</v>
      </c>
      <c r="AE28">
        <f t="shared" si="27"/>
        <v>5.916329958687065</v>
      </c>
      <c r="AF28">
        <f t="shared" si="28"/>
        <v>0.34498076570800501</v>
      </c>
      <c r="AG28">
        <f t="shared" si="28"/>
        <v>9.2747298039934076</v>
      </c>
      <c r="AH28">
        <f t="shared" si="28"/>
        <v>52.380289430298589</v>
      </c>
      <c r="AI28">
        <f t="shared" si="29"/>
        <v>0.31688356311471882</v>
      </c>
      <c r="AJ28">
        <f t="shared" si="29"/>
        <v>8.9113516299445976</v>
      </c>
      <c r="AK28">
        <f t="shared" si="29"/>
        <v>52.771764806940681</v>
      </c>
      <c r="AL28">
        <f t="shared" si="30"/>
        <v>0.24265414258188825</v>
      </c>
      <c r="AM28">
        <f t="shared" si="30"/>
        <v>8.5600915221579967</v>
      </c>
      <c r="AN28">
        <f t="shared" si="30"/>
        <v>53.197254335260119</v>
      </c>
      <c r="AO28">
        <f t="shared" si="31"/>
        <v>0.29958798024030897</v>
      </c>
      <c r="AP28">
        <f t="shared" si="31"/>
        <v>8.4767349051923144</v>
      </c>
      <c r="AQ28">
        <f t="shared" si="31"/>
        <v>53.22367711456738</v>
      </c>
      <c r="AR28">
        <f t="shared" si="32"/>
        <v>0.39687656058473697</v>
      </c>
      <c r="AS28">
        <f t="shared" si="32"/>
        <v>9.2013438053298255</v>
      </c>
      <c r="AT28">
        <f t="shared" si="32"/>
        <v>52.401779634085436</v>
      </c>
      <c r="AU28">
        <f t="shared" si="33"/>
        <v>3.4498076570800507E-2</v>
      </c>
      <c r="AV28">
        <f t="shared" si="33"/>
        <v>0.92747298039934067</v>
      </c>
      <c r="AW28">
        <f t="shared" si="33"/>
        <v>5.2380289430298594</v>
      </c>
      <c r="AX28">
        <f t="shared" si="34"/>
        <v>3.1688356311471884E-2</v>
      </c>
      <c r="AY28">
        <f t="shared" si="34"/>
        <v>0.89113516299445972</v>
      </c>
      <c r="AZ28">
        <f t="shared" si="34"/>
        <v>5.2771764806940684</v>
      </c>
      <c r="BA28">
        <f t="shared" si="35"/>
        <v>2.4265414258188827E-2</v>
      </c>
      <c r="BB28">
        <f t="shared" si="35"/>
        <v>0.85600915221579976</v>
      </c>
      <c r="BC28">
        <f t="shared" si="35"/>
        <v>5.3197254335260125</v>
      </c>
      <c r="BD28">
        <f t="shared" si="36"/>
        <v>2.9958798024030901E-2</v>
      </c>
      <c r="BE28">
        <f t="shared" si="36"/>
        <v>0.84767349051923147</v>
      </c>
      <c r="BF28">
        <f t="shared" si="36"/>
        <v>5.3223677114567378</v>
      </c>
      <c r="BG28">
        <f t="shared" si="37"/>
        <v>3.96876560584737E-2</v>
      </c>
      <c r="BH28">
        <f t="shared" si="37"/>
        <v>0.92013438053298258</v>
      </c>
      <c r="BI28">
        <f t="shared" si="37"/>
        <v>5.2401779634085441</v>
      </c>
      <c r="BJ28">
        <f t="shared" si="38"/>
        <v>15.579776515845388</v>
      </c>
      <c r="BK28">
        <f t="shared" si="50"/>
        <v>418.85876534163771</v>
      </c>
      <c r="BL28">
        <f t="shared" si="39"/>
        <v>2365.561458142517</v>
      </c>
      <c r="BM28">
        <f t="shared" si="40"/>
        <v>14.310870592277626</v>
      </c>
      <c r="BN28">
        <f t="shared" si="40"/>
        <v>402.44813812653018</v>
      </c>
      <c r="BO28">
        <f t="shared" si="40"/>
        <v>2383.2409912811922</v>
      </c>
      <c r="BP28">
        <f t="shared" si="41"/>
        <v>10.958574181117534</v>
      </c>
      <c r="BQ28">
        <f t="shared" si="41"/>
        <v>386.58477842003856</v>
      </c>
      <c r="BR28">
        <f t="shared" si="41"/>
        <v>2402.4566473988443</v>
      </c>
      <c r="BS28">
        <f t="shared" si="42"/>
        <v>13.529779752788148</v>
      </c>
      <c r="BT28">
        <f t="shared" si="42"/>
        <v>382.82028604094324</v>
      </c>
      <c r="BU28">
        <f t="shared" si="42"/>
        <v>2403.6499342062689</v>
      </c>
      <c r="BV28">
        <f t="shared" si="43"/>
        <v>17.923457574794572</v>
      </c>
      <c r="BW28">
        <f t="shared" si="43"/>
        <v>415.54455895037921</v>
      </c>
      <c r="BX28">
        <f t="shared" si="43"/>
        <v>2366.5319834748261</v>
      </c>
    </row>
    <row r="29" spans="1:76" x14ac:dyDescent="0.35">
      <c r="A29">
        <v>2050</v>
      </c>
      <c r="B29" s="5">
        <v>49</v>
      </c>
      <c r="C29" s="5">
        <v>1297</v>
      </c>
      <c r="D29" s="5">
        <v>7398</v>
      </c>
      <c r="E29" s="5">
        <v>48</v>
      </c>
      <c r="F29" s="5">
        <v>1330</v>
      </c>
      <c r="G29" s="5">
        <v>7970</v>
      </c>
      <c r="H29" s="5">
        <v>39</v>
      </c>
      <c r="I29" s="5">
        <v>1369</v>
      </c>
      <c r="J29" s="5">
        <v>8626</v>
      </c>
      <c r="K29" s="5">
        <v>45</v>
      </c>
      <c r="L29" s="5">
        <v>1256</v>
      </c>
      <c r="M29" s="5">
        <v>8005</v>
      </c>
      <c r="N29" s="5">
        <v>57</v>
      </c>
      <c r="O29" s="5">
        <v>1298</v>
      </c>
      <c r="P29" s="5">
        <v>7469</v>
      </c>
      <c r="Q29">
        <f t="shared" si="22"/>
        <v>3.9226898444647759E-2</v>
      </c>
      <c r="R29">
        <f t="shared" si="23"/>
        <v>1.0383119853613907</v>
      </c>
      <c r="S29">
        <f t="shared" si="23"/>
        <v>5.9224611161939613</v>
      </c>
      <c r="T29">
        <f t="shared" si="24"/>
        <v>3.5943517329910135E-2</v>
      </c>
      <c r="U29">
        <f t="shared" si="24"/>
        <v>0.99593495934959342</v>
      </c>
      <c r="V29">
        <f t="shared" si="24"/>
        <v>5.9681215233204963</v>
      </c>
      <c r="W29">
        <f t="shared" si="25"/>
        <v>2.7207494518636636E-2</v>
      </c>
      <c r="X29">
        <f t="shared" si="25"/>
        <v>0.95505282041060402</v>
      </c>
      <c r="Y29">
        <f t="shared" si="25"/>
        <v>6.017739685070759</v>
      </c>
      <c r="Z29">
        <f t="shared" si="26"/>
        <v>3.3849129593810451E-2</v>
      </c>
      <c r="AA29">
        <f t="shared" si="26"/>
        <v>0.94476681710724275</v>
      </c>
      <c r="AB29">
        <f t="shared" si="26"/>
        <v>6.0213840532989469</v>
      </c>
      <c r="AC29">
        <f t="shared" si="27"/>
        <v>4.5217588395285585E-2</v>
      </c>
      <c r="AD29">
        <f t="shared" si="27"/>
        <v>1.0296917497733455</v>
      </c>
      <c r="AE29">
        <f t="shared" si="27"/>
        <v>5.9250906618313692</v>
      </c>
      <c r="AF29">
        <f t="shared" si="28"/>
        <v>0.34743824336688017</v>
      </c>
      <c r="AG29">
        <f t="shared" si="28"/>
        <v>9.1964775846294593</v>
      </c>
      <c r="AH29">
        <f t="shared" si="28"/>
        <v>52.456084172003656</v>
      </c>
      <c r="AI29">
        <f t="shared" si="29"/>
        <v>0.31835686777920408</v>
      </c>
      <c r="AJ29">
        <f t="shared" si="29"/>
        <v>8.8211382113821131</v>
      </c>
      <c r="AK29">
        <f t="shared" si="29"/>
        <v>52.860504920838679</v>
      </c>
      <c r="AL29">
        <f t="shared" si="30"/>
        <v>0.24098066573649593</v>
      </c>
      <c r="AM29">
        <f t="shared" si="30"/>
        <v>8.4590392664939209</v>
      </c>
      <c r="AN29">
        <f t="shared" si="30"/>
        <v>53.299980067769582</v>
      </c>
      <c r="AO29">
        <f t="shared" si="31"/>
        <v>0.29980657640232111</v>
      </c>
      <c r="AP29">
        <f t="shared" si="31"/>
        <v>8.367934665807006</v>
      </c>
      <c r="AQ29">
        <f t="shared" si="31"/>
        <v>53.332258757790669</v>
      </c>
      <c r="AR29">
        <f t="shared" si="32"/>
        <v>0.4004986400725295</v>
      </c>
      <c r="AS29">
        <f t="shared" si="32"/>
        <v>9.1201269265639162</v>
      </c>
      <c r="AT29">
        <f t="shared" si="32"/>
        <v>52.479374433363553</v>
      </c>
      <c r="AU29">
        <f t="shared" si="33"/>
        <v>3.4743824336688017E-2</v>
      </c>
      <c r="AV29">
        <f t="shared" si="33"/>
        <v>0.919647758462946</v>
      </c>
      <c r="AW29">
        <f t="shared" si="33"/>
        <v>5.2456084172003656</v>
      </c>
      <c r="AX29">
        <f t="shared" si="34"/>
        <v>3.1835686777920411E-2</v>
      </c>
      <c r="AY29">
        <f t="shared" si="34"/>
        <v>0.88211382113821135</v>
      </c>
      <c r="AZ29">
        <f t="shared" si="34"/>
        <v>5.2860504920838682</v>
      </c>
      <c r="BA29">
        <f t="shared" si="35"/>
        <v>2.4098066573649594E-2</v>
      </c>
      <c r="BB29">
        <f t="shared" si="35"/>
        <v>0.84590392664939218</v>
      </c>
      <c r="BC29">
        <f t="shared" si="35"/>
        <v>5.3299980067769583</v>
      </c>
      <c r="BD29">
        <f t="shared" si="36"/>
        <v>2.9980657640232111E-2</v>
      </c>
      <c r="BE29">
        <f t="shared" si="36"/>
        <v>0.83679346658070075</v>
      </c>
      <c r="BF29">
        <f t="shared" si="36"/>
        <v>5.3332258757790676</v>
      </c>
      <c r="BG29">
        <f t="shared" si="37"/>
        <v>4.0049864007252953E-2</v>
      </c>
      <c r="BH29">
        <f t="shared" si="37"/>
        <v>0.91201269265639173</v>
      </c>
      <c r="BI29">
        <f t="shared" si="37"/>
        <v>5.2479374433363555</v>
      </c>
      <c r="BJ29">
        <f t="shared" si="38"/>
        <v>15.690759377859104</v>
      </c>
      <c r="BK29">
        <f t="shared" si="50"/>
        <v>415.32479414455628</v>
      </c>
      <c r="BL29">
        <f t="shared" si="39"/>
        <v>2368.9844464775847</v>
      </c>
      <c r="BM29">
        <f t="shared" si="40"/>
        <v>14.377406931964055</v>
      </c>
      <c r="BN29">
        <f t="shared" si="40"/>
        <v>398.3739837398374</v>
      </c>
      <c r="BO29">
        <f t="shared" si="40"/>
        <v>2387.2486093281987</v>
      </c>
      <c r="BP29">
        <f t="shared" si="41"/>
        <v>10.882997807454654</v>
      </c>
      <c r="BQ29">
        <f t="shared" si="41"/>
        <v>382.02112816424159</v>
      </c>
      <c r="BR29">
        <f t="shared" si="41"/>
        <v>2407.0958740283036</v>
      </c>
      <c r="BS29">
        <f t="shared" si="42"/>
        <v>13.539651837524179</v>
      </c>
      <c r="BT29">
        <f t="shared" si="42"/>
        <v>377.90672684289706</v>
      </c>
      <c r="BU29">
        <f t="shared" si="42"/>
        <v>2408.5536213195787</v>
      </c>
      <c r="BV29">
        <f t="shared" si="43"/>
        <v>18.087035358114235</v>
      </c>
      <c r="BW29">
        <f t="shared" si="43"/>
        <v>411.87669990933819</v>
      </c>
      <c r="BX29">
        <f t="shared" si="43"/>
        <v>2370.0362647325474</v>
      </c>
    </row>
    <row r="30" spans="1:76" x14ac:dyDescent="0.35">
      <c r="A30">
        <v>2051</v>
      </c>
      <c r="B30" s="5">
        <f t="shared" ref="B30:E33" si="53">B29+((B$34-B$29)/5)</f>
        <v>49.4</v>
      </c>
      <c r="C30" s="5">
        <f t="shared" si="53"/>
        <v>1286.2</v>
      </c>
      <c r="D30" s="5">
        <f t="shared" si="53"/>
        <v>7409</v>
      </c>
      <c r="E30" s="5">
        <f>E29+((E$34-E$29)/5)</f>
        <v>48.2</v>
      </c>
      <c r="F30" s="5">
        <f t="shared" ref="F30:P33" si="54">F29+((F$34-F$29)/5)</f>
        <v>1320</v>
      </c>
      <c r="G30" s="5">
        <f t="shared" si="54"/>
        <v>8006.2</v>
      </c>
      <c r="H30" s="5">
        <f t="shared" si="54"/>
        <v>38.799999999999997</v>
      </c>
      <c r="I30" s="5">
        <f t="shared" si="54"/>
        <v>1361.4</v>
      </c>
      <c r="J30" s="5">
        <f t="shared" si="54"/>
        <v>8698.6</v>
      </c>
      <c r="K30" s="5">
        <f t="shared" si="54"/>
        <v>45.2</v>
      </c>
      <c r="L30" s="5">
        <f t="shared" si="54"/>
        <v>1243</v>
      </c>
      <c r="M30" s="5">
        <f t="shared" si="54"/>
        <v>8046.6</v>
      </c>
      <c r="N30" s="5">
        <f t="shared" si="54"/>
        <v>57.8</v>
      </c>
      <c r="O30" s="5">
        <f t="shared" si="54"/>
        <v>1287.2</v>
      </c>
      <c r="P30" s="5">
        <f t="shared" si="54"/>
        <v>7484.4</v>
      </c>
      <c r="Q30">
        <f t="shared" si="22"/>
        <v>3.9544404546806029E-2</v>
      </c>
      <c r="R30">
        <f t="shared" si="23"/>
        <v>1.0295954074514557</v>
      </c>
      <c r="S30">
        <f t="shared" si="23"/>
        <v>5.9308601880017378</v>
      </c>
      <c r="T30">
        <f t="shared" si="24"/>
        <v>3.5991636798088415E-2</v>
      </c>
      <c r="U30">
        <f t="shared" si="24"/>
        <v>0.98566308243727607</v>
      </c>
      <c r="V30">
        <f t="shared" si="24"/>
        <v>5.9783452807646356</v>
      </c>
      <c r="W30">
        <f t="shared" si="25"/>
        <v>2.689428446944191E-2</v>
      </c>
      <c r="X30">
        <f t="shared" si="25"/>
        <v>0.94365667207985093</v>
      </c>
      <c r="Y30">
        <f t="shared" si="25"/>
        <v>6.0294490434507066</v>
      </c>
      <c r="Z30">
        <f t="shared" si="26"/>
        <v>3.3894673694133778E-2</v>
      </c>
      <c r="AA30">
        <f t="shared" si="26"/>
        <v>0.93210352658867879</v>
      </c>
      <c r="AB30">
        <f t="shared" si="26"/>
        <v>6.0340017997171875</v>
      </c>
      <c r="AC30">
        <f t="shared" si="27"/>
        <v>4.5824178313362177E-2</v>
      </c>
      <c r="AD30">
        <f t="shared" si="27"/>
        <v>1.0204996942034568</v>
      </c>
      <c r="AE30">
        <f t="shared" si="27"/>
        <v>5.9336761274831806</v>
      </c>
      <c r="AF30">
        <f t="shared" si="28"/>
        <v>0.35025044027171054</v>
      </c>
      <c r="AG30">
        <f t="shared" si="28"/>
        <v>9.1192736088557513</v>
      </c>
      <c r="AH30">
        <f t="shared" si="28"/>
        <v>52.530475950872535</v>
      </c>
      <c r="AI30">
        <f t="shared" si="29"/>
        <v>0.31878306878306883</v>
      </c>
      <c r="AJ30">
        <f t="shared" si="29"/>
        <v>8.7301587301587311</v>
      </c>
      <c r="AK30">
        <f t="shared" si="29"/>
        <v>52.951058201058196</v>
      </c>
      <c r="AL30">
        <f t="shared" si="30"/>
        <v>0.2382065195864855</v>
      </c>
      <c r="AM30">
        <f t="shared" si="30"/>
        <v>8.3581019527072513</v>
      </c>
      <c r="AN30">
        <f t="shared" si="30"/>
        <v>53.403691527706265</v>
      </c>
      <c r="AO30">
        <f t="shared" si="31"/>
        <v>0.30020996700518487</v>
      </c>
      <c r="AP30">
        <f t="shared" si="31"/>
        <v>8.255774092642584</v>
      </c>
      <c r="AQ30">
        <f t="shared" si="31"/>
        <v>53.44401594035223</v>
      </c>
      <c r="AR30">
        <f t="shared" si="32"/>
        <v>0.40587129363263641</v>
      </c>
      <c r="AS30">
        <f t="shared" si="32"/>
        <v>9.0387115772306181</v>
      </c>
      <c r="AT30">
        <f t="shared" si="32"/>
        <v>52.555417129136742</v>
      </c>
      <c r="AU30">
        <f t="shared" si="33"/>
        <v>3.5025044027171055E-2</v>
      </c>
      <c r="AV30">
        <f t="shared" si="33"/>
        <v>0.91192736088557513</v>
      </c>
      <c r="AW30">
        <f t="shared" si="33"/>
        <v>5.2530475950872537</v>
      </c>
      <c r="AX30">
        <f t="shared" si="34"/>
        <v>3.1878306878306881E-2</v>
      </c>
      <c r="AY30">
        <f t="shared" si="34"/>
        <v>0.87301587301587313</v>
      </c>
      <c r="AZ30">
        <f t="shared" si="34"/>
        <v>5.2951058201058201</v>
      </c>
      <c r="BA30">
        <f t="shared" si="35"/>
        <v>2.3820651958648551E-2</v>
      </c>
      <c r="BB30">
        <f t="shared" si="35"/>
        <v>0.8358101952707252</v>
      </c>
      <c r="BC30">
        <f t="shared" si="35"/>
        <v>5.3403691527706263</v>
      </c>
      <c r="BD30">
        <f t="shared" si="36"/>
        <v>3.0020996700518488E-2</v>
      </c>
      <c r="BE30">
        <f t="shared" si="36"/>
        <v>0.82557740926425838</v>
      </c>
      <c r="BF30">
        <f t="shared" si="36"/>
        <v>5.3444015940352232</v>
      </c>
      <c r="BG30">
        <f t="shared" si="37"/>
        <v>4.0587129363263641E-2</v>
      </c>
      <c r="BH30">
        <f t="shared" si="37"/>
        <v>0.9038711577230617</v>
      </c>
      <c r="BI30">
        <f t="shared" si="37"/>
        <v>5.2555417129136748</v>
      </c>
      <c r="BJ30">
        <f t="shared" si="38"/>
        <v>15.817761818722412</v>
      </c>
      <c r="BK30">
        <f t="shared" si="50"/>
        <v>411.8381629805823</v>
      </c>
      <c r="BL30">
        <f t="shared" si="39"/>
        <v>2372.344075200695</v>
      </c>
      <c r="BM30">
        <f t="shared" si="40"/>
        <v>14.396654719235366</v>
      </c>
      <c r="BN30">
        <f t="shared" si="40"/>
        <v>394.26523297491042</v>
      </c>
      <c r="BO30">
        <f t="shared" si="40"/>
        <v>2391.3381123058543</v>
      </c>
      <c r="BP30">
        <f t="shared" si="41"/>
        <v>10.757713787776764</v>
      </c>
      <c r="BQ30">
        <f t="shared" si="41"/>
        <v>377.46266883194039</v>
      </c>
      <c r="BR30">
        <f t="shared" si="41"/>
        <v>2411.7796173802826</v>
      </c>
      <c r="BS30">
        <f t="shared" si="42"/>
        <v>13.557869477653512</v>
      </c>
      <c r="BT30">
        <f t="shared" si="42"/>
        <v>372.8414106354715</v>
      </c>
      <c r="BU30">
        <f t="shared" si="42"/>
        <v>2413.6007198868747</v>
      </c>
      <c r="BV30">
        <f t="shared" si="43"/>
        <v>18.329671325344869</v>
      </c>
      <c r="BW30">
        <f t="shared" si="43"/>
        <v>408.1998776813827</v>
      </c>
      <c r="BX30">
        <f t="shared" si="43"/>
        <v>2373.4704509932722</v>
      </c>
    </row>
    <row r="31" spans="1:76" x14ac:dyDescent="0.35">
      <c r="A31">
        <v>2052</v>
      </c>
      <c r="B31" s="5">
        <f t="shared" si="53"/>
        <v>49.8</v>
      </c>
      <c r="C31" s="5">
        <f t="shared" si="53"/>
        <v>1275.4000000000001</v>
      </c>
      <c r="D31" s="5">
        <f t="shared" si="53"/>
        <v>7420</v>
      </c>
      <c r="E31" s="5">
        <f t="shared" si="53"/>
        <v>48.400000000000006</v>
      </c>
      <c r="F31" s="5">
        <f t="shared" si="54"/>
        <v>1310</v>
      </c>
      <c r="G31" s="5">
        <f t="shared" si="54"/>
        <v>8042.4</v>
      </c>
      <c r="H31" s="5">
        <f t="shared" si="54"/>
        <v>38.599999999999994</v>
      </c>
      <c r="I31" s="5">
        <f t="shared" si="54"/>
        <v>1353.8000000000002</v>
      </c>
      <c r="J31" s="5">
        <f t="shared" si="54"/>
        <v>8771.2000000000007</v>
      </c>
      <c r="K31" s="5">
        <f t="shared" si="54"/>
        <v>45.400000000000006</v>
      </c>
      <c r="L31" s="5">
        <f t="shared" si="54"/>
        <v>1230</v>
      </c>
      <c r="M31" s="5">
        <f t="shared" si="54"/>
        <v>8088.2000000000007</v>
      </c>
      <c r="N31" s="5">
        <f t="shared" si="54"/>
        <v>58.599999999999994</v>
      </c>
      <c r="O31" s="5">
        <f t="shared" si="54"/>
        <v>1276.4000000000001</v>
      </c>
      <c r="P31" s="5">
        <f t="shared" si="54"/>
        <v>7499.7999999999993</v>
      </c>
      <c r="Q31">
        <f t="shared" si="22"/>
        <v>3.986186708137035E-2</v>
      </c>
      <c r="R31">
        <f t="shared" si="23"/>
        <v>1.0208800256140511</v>
      </c>
      <c r="S31">
        <f t="shared" si="23"/>
        <v>5.9392581073045783</v>
      </c>
      <c r="T31">
        <f t="shared" si="24"/>
        <v>3.6039486001191397E-2</v>
      </c>
      <c r="U31">
        <f t="shared" si="24"/>
        <v>0.97544889796613055</v>
      </c>
      <c r="V31">
        <f t="shared" si="24"/>
        <v>5.9885116160326781</v>
      </c>
      <c r="W31">
        <f t="shared" si="25"/>
        <v>2.6585068282891883E-2</v>
      </c>
      <c r="X31">
        <f t="shared" si="25"/>
        <v>0.93240584045023422</v>
      </c>
      <c r="Y31">
        <f t="shared" si="25"/>
        <v>6.0410090912668739</v>
      </c>
      <c r="Z31">
        <f t="shared" si="26"/>
        <v>3.3939937630825756E-2</v>
      </c>
      <c r="AA31">
        <f t="shared" si="26"/>
        <v>0.91951813405100591</v>
      </c>
      <c r="AB31">
        <f t="shared" si="26"/>
        <v>6.0465419283181685</v>
      </c>
      <c r="AC31">
        <f t="shared" si="27"/>
        <v>4.6430026712545841E-2</v>
      </c>
      <c r="AD31">
        <f t="shared" si="27"/>
        <v>1.0113188753565447</v>
      </c>
      <c r="AE31">
        <f t="shared" si="27"/>
        <v>5.9422510979309093</v>
      </c>
      <c r="AF31">
        <f t="shared" si="28"/>
        <v>0.35306225129213736</v>
      </c>
      <c r="AG31">
        <f t="shared" si="28"/>
        <v>9.0420802268673093</v>
      </c>
      <c r="AH31">
        <f t="shared" si="28"/>
        <v>52.60485752184055</v>
      </c>
      <c r="AI31">
        <f t="shared" si="29"/>
        <v>0.31920687601055237</v>
      </c>
      <c r="AJ31">
        <f t="shared" si="29"/>
        <v>8.6396902391285852</v>
      </c>
      <c r="AK31">
        <f t="shared" si="29"/>
        <v>53.041102884860862</v>
      </c>
      <c r="AL31">
        <f t="shared" si="30"/>
        <v>0.23546774764847098</v>
      </c>
      <c r="AM31">
        <f t="shared" si="30"/>
        <v>8.2584517297020756</v>
      </c>
      <c r="AN31">
        <f t="shared" si="30"/>
        <v>53.506080522649455</v>
      </c>
      <c r="AO31">
        <f t="shared" si="31"/>
        <v>0.30061087615874238</v>
      </c>
      <c r="AP31">
        <f t="shared" si="31"/>
        <v>8.1443034730231965</v>
      </c>
      <c r="AQ31">
        <f t="shared" si="31"/>
        <v>53.555085650818064</v>
      </c>
      <c r="AR31">
        <f t="shared" si="32"/>
        <v>0.41123737945397748</v>
      </c>
      <c r="AS31">
        <f t="shared" si="32"/>
        <v>8.957395753157968</v>
      </c>
      <c r="AT31">
        <f t="shared" si="32"/>
        <v>52.63136686738806</v>
      </c>
      <c r="AU31">
        <f t="shared" si="33"/>
        <v>3.5306225129213734E-2</v>
      </c>
      <c r="AV31">
        <f t="shared" si="33"/>
        <v>0.90420802268673095</v>
      </c>
      <c r="AW31">
        <f t="shared" si="33"/>
        <v>5.2604857521840556</v>
      </c>
      <c r="AX31">
        <f t="shared" si="34"/>
        <v>3.1920687601055237E-2</v>
      </c>
      <c r="AY31">
        <f t="shared" si="34"/>
        <v>0.86396902391285857</v>
      </c>
      <c r="AZ31">
        <f t="shared" si="34"/>
        <v>5.3041102884860862</v>
      </c>
      <c r="BA31">
        <f t="shared" si="35"/>
        <v>2.3546774764847098E-2</v>
      </c>
      <c r="BB31">
        <f t="shared" si="35"/>
        <v>0.82584517297020754</v>
      </c>
      <c r="BC31">
        <f t="shared" si="35"/>
        <v>5.3506080522649455</v>
      </c>
      <c r="BD31">
        <f t="shared" si="36"/>
        <v>3.0061087615874241E-2</v>
      </c>
      <c r="BE31">
        <f t="shared" si="36"/>
        <v>0.81443034730231956</v>
      </c>
      <c r="BF31">
        <f t="shared" si="36"/>
        <v>5.3555085650818066</v>
      </c>
      <c r="BG31">
        <f t="shared" si="37"/>
        <v>4.1123737945397747E-2</v>
      </c>
      <c r="BH31">
        <f t="shared" si="37"/>
        <v>0.89573957531579673</v>
      </c>
      <c r="BI31">
        <f t="shared" si="37"/>
        <v>5.2631366867388056</v>
      </c>
      <c r="BJ31">
        <f t="shared" si="38"/>
        <v>15.944746832548139</v>
      </c>
      <c r="BK31">
        <f t="shared" si="50"/>
        <v>408.35201024562042</v>
      </c>
      <c r="BL31">
        <f t="shared" si="39"/>
        <v>2375.7032429218311</v>
      </c>
      <c r="BM31">
        <f t="shared" si="40"/>
        <v>14.415794400476559</v>
      </c>
      <c r="BN31">
        <f t="shared" si="40"/>
        <v>390.17955918645225</v>
      </c>
      <c r="BO31">
        <f t="shared" si="40"/>
        <v>2395.4046464130711</v>
      </c>
      <c r="BP31">
        <f t="shared" si="41"/>
        <v>10.634027313156754</v>
      </c>
      <c r="BQ31">
        <f t="shared" si="41"/>
        <v>372.9623361800937</v>
      </c>
      <c r="BR31">
        <f t="shared" si="41"/>
        <v>2416.4036365067495</v>
      </c>
      <c r="BS31">
        <f t="shared" si="42"/>
        <v>13.575975052330302</v>
      </c>
      <c r="BT31">
        <f t="shared" si="42"/>
        <v>367.80725362040238</v>
      </c>
      <c r="BU31">
        <f t="shared" si="42"/>
        <v>2418.6167713272675</v>
      </c>
      <c r="BV31">
        <f t="shared" si="43"/>
        <v>18.572010685018338</v>
      </c>
      <c r="BW31">
        <f t="shared" si="43"/>
        <v>404.52755014261788</v>
      </c>
      <c r="BX31">
        <f t="shared" si="43"/>
        <v>2376.9004391723638</v>
      </c>
    </row>
    <row r="32" spans="1:76" x14ac:dyDescent="0.35">
      <c r="A32">
        <v>2053</v>
      </c>
      <c r="B32" s="5">
        <f t="shared" si="53"/>
        <v>50.199999999999996</v>
      </c>
      <c r="C32" s="5">
        <f t="shared" si="53"/>
        <v>1264.6000000000001</v>
      </c>
      <c r="D32" s="5">
        <f t="shared" si="53"/>
        <v>7431</v>
      </c>
      <c r="E32" s="5">
        <f t="shared" si="53"/>
        <v>48.600000000000009</v>
      </c>
      <c r="F32" s="5">
        <f t="shared" si="54"/>
        <v>1300</v>
      </c>
      <c r="G32" s="5">
        <f t="shared" si="54"/>
        <v>8078.5999999999995</v>
      </c>
      <c r="H32" s="5">
        <f t="shared" si="54"/>
        <v>38.399999999999991</v>
      </c>
      <c r="I32" s="5">
        <f t="shared" si="54"/>
        <v>1346.2000000000003</v>
      </c>
      <c r="J32" s="5">
        <f t="shared" si="54"/>
        <v>8843.8000000000011</v>
      </c>
      <c r="K32" s="5">
        <f t="shared" si="54"/>
        <v>45.600000000000009</v>
      </c>
      <c r="L32" s="5">
        <f t="shared" si="54"/>
        <v>1217</v>
      </c>
      <c r="M32" s="5">
        <f t="shared" si="54"/>
        <v>8129.8000000000011</v>
      </c>
      <c r="N32" s="5">
        <f t="shared" si="54"/>
        <v>59.399999999999991</v>
      </c>
      <c r="O32" s="5">
        <f t="shared" si="54"/>
        <v>1265.6000000000001</v>
      </c>
      <c r="P32" s="5">
        <f t="shared" si="54"/>
        <v>7515.1999999999989</v>
      </c>
      <c r="Q32">
        <f t="shared" si="22"/>
        <v>4.0179286057307508E-2</v>
      </c>
      <c r="R32">
        <f t="shared" si="23"/>
        <v>1.0121658396030095</v>
      </c>
      <c r="S32">
        <f t="shared" si="23"/>
        <v>5.9476548743396833</v>
      </c>
      <c r="T32">
        <f t="shared" si="24"/>
        <v>3.6087067209775975E-2</v>
      </c>
      <c r="U32">
        <f t="shared" si="24"/>
        <v>0.96529192124915153</v>
      </c>
      <c r="V32">
        <f t="shared" si="24"/>
        <v>5.998621011541073</v>
      </c>
      <c r="W32">
        <f t="shared" si="25"/>
        <v>2.6279770052012034E-2</v>
      </c>
      <c r="X32">
        <f t="shared" si="25"/>
        <v>0.9212975636463181</v>
      </c>
      <c r="Y32">
        <f t="shared" si="25"/>
        <v>6.0524226663016698</v>
      </c>
      <c r="Z32">
        <f t="shared" si="26"/>
        <v>3.3984923981091097E-2</v>
      </c>
      <c r="AA32">
        <f t="shared" si="26"/>
        <v>0.90700992291640026</v>
      </c>
      <c r="AB32">
        <f t="shared" si="26"/>
        <v>6.0590051531025084</v>
      </c>
      <c r="AC32">
        <f t="shared" si="27"/>
        <v>4.7035134951697928E-2</v>
      </c>
      <c r="AD32">
        <f t="shared" si="27"/>
        <v>1.0021492726408907</v>
      </c>
      <c r="AE32">
        <f t="shared" si="27"/>
        <v>5.9508155924074115</v>
      </c>
      <c r="AF32">
        <f t="shared" si="28"/>
        <v>0.35587367650758078</v>
      </c>
      <c r="AG32">
        <f t="shared" si="28"/>
        <v>8.964897436483799</v>
      </c>
      <c r="AH32">
        <f t="shared" si="28"/>
        <v>52.679228887008627</v>
      </c>
      <c r="AI32">
        <f t="shared" si="29"/>
        <v>0.31962830957230148</v>
      </c>
      <c r="AJ32">
        <f t="shared" si="29"/>
        <v>8.5497284453496274</v>
      </c>
      <c r="AK32">
        <f t="shared" si="29"/>
        <v>53.130643245078069</v>
      </c>
      <c r="AL32">
        <f t="shared" si="30"/>
        <v>0.23276367760353517</v>
      </c>
      <c r="AM32">
        <f t="shared" si="30"/>
        <v>8.1600641351531031</v>
      </c>
      <c r="AN32">
        <f t="shared" si="30"/>
        <v>53.607172187243357</v>
      </c>
      <c r="AO32">
        <f t="shared" si="31"/>
        <v>0.30100932668966401</v>
      </c>
      <c r="AP32">
        <f t="shared" si="31"/>
        <v>8.0335164601166884</v>
      </c>
      <c r="AQ32">
        <f t="shared" si="31"/>
        <v>53.66547421319364</v>
      </c>
      <c r="AR32">
        <f t="shared" si="32"/>
        <v>0.41659690957218165</v>
      </c>
      <c r="AS32">
        <f t="shared" si="32"/>
        <v>8.8761792719621759</v>
      </c>
      <c r="AT32">
        <f t="shared" si="32"/>
        <v>52.707223818465643</v>
      </c>
      <c r="AU32">
        <f t="shared" si="33"/>
        <v>3.5587367650758074E-2</v>
      </c>
      <c r="AV32">
        <f t="shared" si="33"/>
        <v>0.89648974364837997</v>
      </c>
      <c r="AW32">
        <f t="shared" si="33"/>
        <v>5.2679228887008627</v>
      </c>
      <c r="AX32">
        <f t="shared" si="34"/>
        <v>3.1962830957230154E-2</v>
      </c>
      <c r="AY32">
        <f t="shared" si="34"/>
        <v>0.85497284453496281</v>
      </c>
      <c r="AZ32">
        <f t="shared" si="34"/>
        <v>5.3130643245078071</v>
      </c>
      <c r="BA32">
        <f t="shared" si="35"/>
        <v>2.3276367760353519E-2</v>
      </c>
      <c r="BB32">
        <f t="shared" si="35"/>
        <v>0.81600641351531034</v>
      </c>
      <c r="BC32">
        <f t="shared" si="35"/>
        <v>5.3607172187243357</v>
      </c>
      <c r="BD32">
        <f t="shared" si="36"/>
        <v>3.01009326689664E-2</v>
      </c>
      <c r="BE32">
        <f t="shared" si="36"/>
        <v>0.80335164601166886</v>
      </c>
      <c r="BF32">
        <f t="shared" si="36"/>
        <v>5.366547421319364</v>
      </c>
      <c r="BG32">
        <f t="shared" si="37"/>
        <v>4.1659690957218165E-2</v>
      </c>
      <c r="BH32">
        <f t="shared" si="37"/>
        <v>0.88761792719621757</v>
      </c>
      <c r="BI32">
        <f t="shared" si="37"/>
        <v>5.2707223818465643</v>
      </c>
      <c r="BJ32">
        <f t="shared" si="38"/>
        <v>16.071714422923002</v>
      </c>
      <c r="BK32">
        <f t="shared" si="50"/>
        <v>404.86633584120381</v>
      </c>
      <c r="BL32">
        <f t="shared" si="39"/>
        <v>2379.0619497358734</v>
      </c>
      <c r="BM32">
        <f t="shared" si="40"/>
        <v>14.434826883910389</v>
      </c>
      <c r="BN32">
        <f t="shared" si="40"/>
        <v>386.11676849966062</v>
      </c>
      <c r="BO32">
        <f t="shared" si="40"/>
        <v>2399.4484046164289</v>
      </c>
      <c r="BP32">
        <f t="shared" si="41"/>
        <v>10.511908020804814</v>
      </c>
      <c r="BQ32">
        <f t="shared" si="41"/>
        <v>368.51902545852727</v>
      </c>
      <c r="BR32">
        <f t="shared" si="41"/>
        <v>2420.9690665206676</v>
      </c>
      <c r="BS32">
        <f t="shared" si="42"/>
        <v>13.593969592436439</v>
      </c>
      <c r="BT32">
        <f t="shared" si="42"/>
        <v>362.80396916656014</v>
      </c>
      <c r="BU32">
        <f t="shared" si="42"/>
        <v>2423.6020612410034</v>
      </c>
      <c r="BV32">
        <f t="shared" si="43"/>
        <v>18.814053980679169</v>
      </c>
      <c r="BW32">
        <f t="shared" si="43"/>
        <v>400.85970905635628</v>
      </c>
      <c r="BX32">
        <f t="shared" si="43"/>
        <v>2380.3262369629647</v>
      </c>
    </row>
    <row r="33" spans="1:76" x14ac:dyDescent="0.35">
      <c r="A33">
        <v>2054</v>
      </c>
      <c r="B33" s="5">
        <f t="shared" si="53"/>
        <v>50.599999999999994</v>
      </c>
      <c r="C33" s="5">
        <f t="shared" si="53"/>
        <v>1253.8000000000002</v>
      </c>
      <c r="D33" s="5">
        <f t="shared" si="53"/>
        <v>7442</v>
      </c>
      <c r="E33" s="5">
        <f t="shared" si="53"/>
        <v>48.800000000000011</v>
      </c>
      <c r="F33" s="5">
        <f t="shared" si="54"/>
        <v>1290</v>
      </c>
      <c r="G33" s="5">
        <f t="shared" si="54"/>
        <v>8114.7999999999993</v>
      </c>
      <c r="H33" s="5">
        <f t="shared" si="54"/>
        <v>38.199999999999989</v>
      </c>
      <c r="I33" s="5">
        <f t="shared" si="54"/>
        <v>1338.6000000000004</v>
      </c>
      <c r="J33" s="5">
        <f t="shared" si="54"/>
        <v>8916.4000000000015</v>
      </c>
      <c r="K33" s="5">
        <f t="shared" si="54"/>
        <v>45.800000000000011</v>
      </c>
      <c r="L33" s="5">
        <f t="shared" si="54"/>
        <v>1204</v>
      </c>
      <c r="M33" s="5">
        <f t="shared" si="54"/>
        <v>8171.4000000000015</v>
      </c>
      <c r="N33" s="5">
        <f t="shared" si="54"/>
        <v>60.199999999999989</v>
      </c>
      <c r="O33" s="5">
        <f t="shared" si="54"/>
        <v>1254.8000000000002</v>
      </c>
      <c r="P33" s="5">
        <f t="shared" si="54"/>
        <v>7530.5999999999985</v>
      </c>
      <c r="Q33">
        <f t="shared" si="22"/>
        <v>4.0496661483581817E-2</v>
      </c>
      <c r="R33">
        <f t="shared" si="23"/>
        <v>1.003452849172231</v>
      </c>
      <c r="S33">
        <f t="shared" si="23"/>
        <v>5.9560504893441877</v>
      </c>
      <c r="T33">
        <f t="shared" si="24"/>
        <v>3.6134382669036146E-2</v>
      </c>
      <c r="U33">
        <f t="shared" si="24"/>
        <v>0.95519167301345542</v>
      </c>
      <c r="V33">
        <f t="shared" si="24"/>
        <v>6.0086739443175095</v>
      </c>
      <c r="W33">
        <f t="shared" si="25"/>
        <v>2.5978315781292491E-2</v>
      </c>
      <c r="X33">
        <f t="shared" si="25"/>
        <v>0.9103291493413127</v>
      </c>
      <c r="Y33">
        <f t="shared" si="25"/>
        <v>6.0636925348773945</v>
      </c>
      <c r="Z33">
        <f t="shared" si="26"/>
        <v>3.4029635290621155E-2</v>
      </c>
      <c r="AA33">
        <f t="shared" si="26"/>
        <v>0.89457818536916744</v>
      </c>
      <c r="AB33">
        <f t="shared" si="26"/>
        <v>6.0713921793402124</v>
      </c>
      <c r="AC33">
        <f t="shared" si="27"/>
        <v>4.7639504386361581E-2</v>
      </c>
      <c r="AD33">
        <f t="shared" si="27"/>
        <v>0.99299086551505855</v>
      </c>
      <c r="AE33">
        <f t="shared" si="27"/>
        <v>5.9593696300985801</v>
      </c>
      <c r="AF33">
        <f t="shared" si="28"/>
        <v>0.3586847159974389</v>
      </c>
      <c r="AG33">
        <f t="shared" si="28"/>
        <v>8.8877252355254761</v>
      </c>
      <c r="AH33">
        <f t="shared" si="28"/>
        <v>52.753590048477093</v>
      </c>
      <c r="AI33">
        <f t="shared" si="29"/>
        <v>0.32004738935432014</v>
      </c>
      <c r="AJ33">
        <f t="shared" si="29"/>
        <v>8.460269103833463</v>
      </c>
      <c r="AK33">
        <f t="shared" si="29"/>
        <v>53.219683506812224</v>
      </c>
      <c r="AL33">
        <f t="shared" si="30"/>
        <v>0.23009365406287635</v>
      </c>
      <c r="AM33">
        <f t="shared" si="30"/>
        <v>8.0629153227373411</v>
      </c>
      <c r="AN33">
        <f t="shared" si="30"/>
        <v>53.706991023199784</v>
      </c>
      <c r="AO33">
        <f t="shared" si="31"/>
        <v>0.30140534114550166</v>
      </c>
      <c r="AP33">
        <f t="shared" si="31"/>
        <v>7.92340678469834</v>
      </c>
      <c r="AQ33">
        <f t="shared" si="31"/>
        <v>53.775187874156167</v>
      </c>
      <c r="AR33">
        <f t="shared" si="32"/>
        <v>0.42194989599348826</v>
      </c>
      <c r="AS33">
        <f t="shared" si="32"/>
        <v>8.7950619517048043</v>
      </c>
      <c r="AT33">
        <f t="shared" si="32"/>
        <v>52.782988152301712</v>
      </c>
      <c r="AU33">
        <f t="shared" si="33"/>
        <v>3.5868471599743892E-2</v>
      </c>
      <c r="AV33">
        <f t="shared" si="33"/>
        <v>0.88877252355254754</v>
      </c>
      <c r="AW33">
        <f t="shared" si="33"/>
        <v>5.2753590048477097</v>
      </c>
      <c r="AX33">
        <f t="shared" si="34"/>
        <v>3.2004738935432014E-2</v>
      </c>
      <c r="AY33">
        <f t="shared" si="34"/>
        <v>0.84602691038334621</v>
      </c>
      <c r="AZ33">
        <f t="shared" si="34"/>
        <v>5.3219683506812228</v>
      </c>
      <c r="BA33">
        <f t="shared" si="35"/>
        <v>2.3009365406287636E-2</v>
      </c>
      <c r="BB33">
        <f t="shared" si="35"/>
        <v>0.80629153227373407</v>
      </c>
      <c r="BC33">
        <f t="shared" si="35"/>
        <v>5.3706991023199784</v>
      </c>
      <c r="BD33">
        <f t="shared" si="36"/>
        <v>3.0140534114550168E-2</v>
      </c>
      <c r="BE33">
        <f t="shared" si="36"/>
        <v>0.79234067846983403</v>
      </c>
      <c r="BF33">
        <f t="shared" si="36"/>
        <v>5.3775187874156165</v>
      </c>
      <c r="BG33">
        <f t="shared" si="37"/>
        <v>4.219498959934883E-2</v>
      </c>
      <c r="BH33">
        <f t="shared" si="37"/>
        <v>0.87950619517048045</v>
      </c>
      <c r="BI33">
        <f t="shared" si="37"/>
        <v>5.2782988152301709</v>
      </c>
      <c r="BJ33">
        <f t="shared" si="38"/>
        <v>16.198664593432724</v>
      </c>
      <c r="BK33">
        <f t="shared" si="50"/>
        <v>401.38113966889244</v>
      </c>
      <c r="BL33">
        <f t="shared" si="39"/>
        <v>2382.4201957376749</v>
      </c>
      <c r="BM33">
        <f t="shared" si="40"/>
        <v>14.453753067614459</v>
      </c>
      <c r="BN33">
        <f t="shared" si="40"/>
        <v>382.07666920538219</v>
      </c>
      <c r="BO33">
        <f t="shared" si="40"/>
        <v>2403.4695777270035</v>
      </c>
      <c r="BP33">
        <f t="shared" si="41"/>
        <v>10.391326312516997</v>
      </c>
      <c r="BQ33">
        <f t="shared" si="41"/>
        <v>364.13165973652508</v>
      </c>
      <c r="BR33">
        <f t="shared" si="41"/>
        <v>2425.4770139509578</v>
      </c>
      <c r="BS33">
        <f t="shared" si="42"/>
        <v>13.611854116248463</v>
      </c>
      <c r="BT33">
        <f t="shared" si="42"/>
        <v>357.83127414766699</v>
      </c>
      <c r="BU33">
        <f t="shared" si="42"/>
        <v>2428.5568717360848</v>
      </c>
      <c r="BV33">
        <f t="shared" si="43"/>
        <v>19.055801754544632</v>
      </c>
      <c r="BW33">
        <f t="shared" si="43"/>
        <v>397.19634620602341</v>
      </c>
      <c r="BX33">
        <f t="shared" si="43"/>
        <v>2383.747852039432</v>
      </c>
    </row>
    <row r="34" spans="1:76" x14ac:dyDescent="0.35">
      <c r="A34">
        <v>2055</v>
      </c>
      <c r="B34" s="5">
        <v>51</v>
      </c>
      <c r="C34" s="5">
        <v>1243</v>
      </c>
      <c r="D34" s="5">
        <v>7453</v>
      </c>
      <c r="E34" s="5">
        <v>49</v>
      </c>
      <c r="F34" s="5">
        <v>1280</v>
      </c>
      <c r="G34" s="5">
        <v>8151</v>
      </c>
      <c r="H34" s="5">
        <v>38</v>
      </c>
      <c r="I34" s="5">
        <v>1331</v>
      </c>
      <c r="J34" s="5">
        <v>8989</v>
      </c>
      <c r="K34" s="5">
        <v>46</v>
      </c>
      <c r="L34" s="5">
        <v>1191</v>
      </c>
      <c r="M34" s="5">
        <v>8213</v>
      </c>
      <c r="N34" s="5">
        <v>61</v>
      </c>
      <c r="O34" s="5">
        <v>1244</v>
      </c>
      <c r="P34" s="5">
        <v>7546</v>
      </c>
      <c r="Q34">
        <f t="shared" si="22"/>
        <v>4.0813993369155137E-2</v>
      </c>
      <c r="R34">
        <f t="shared" si="23"/>
        <v>0.99474105407568314</v>
      </c>
      <c r="S34">
        <f t="shared" si="23"/>
        <v>5.9644449525551622</v>
      </c>
      <c r="T34">
        <f t="shared" si="24"/>
        <v>3.6181434599156119E-2</v>
      </c>
      <c r="U34">
        <f t="shared" si="24"/>
        <v>0.94514767932489441</v>
      </c>
      <c r="V34">
        <f t="shared" si="24"/>
        <v>6.0186708860759497</v>
      </c>
      <c r="W34">
        <f t="shared" si="25"/>
        <v>2.5680633326897084E-2</v>
      </c>
      <c r="X34">
        <f t="shared" si="25"/>
        <v>0.89949797258157949</v>
      </c>
      <c r="Y34">
        <f t="shared" si="25"/>
        <v>6.074821394091523</v>
      </c>
      <c r="Z34">
        <f t="shared" si="26"/>
        <v>3.4074074074074076E-2</v>
      </c>
      <c r="AA34">
        <f t="shared" si="26"/>
        <v>0.88222222222222213</v>
      </c>
      <c r="AB34">
        <f t="shared" si="26"/>
        <v>6.0837037037037041</v>
      </c>
      <c r="AC34">
        <f t="shared" si="27"/>
        <v>4.8243136368771894E-2</v>
      </c>
      <c r="AD34">
        <f t="shared" si="27"/>
        <v>0.98384363348774151</v>
      </c>
      <c r="AE34">
        <f t="shared" si="27"/>
        <v>5.9679132301434858</v>
      </c>
      <c r="AF34">
        <f t="shared" si="28"/>
        <v>0.36149536984108832</v>
      </c>
      <c r="AG34">
        <f t="shared" si="28"/>
        <v>8.8105636218131931</v>
      </c>
      <c r="AH34">
        <f t="shared" si="28"/>
        <v>52.827941008345718</v>
      </c>
      <c r="AI34">
        <f t="shared" si="29"/>
        <v>0.32046413502109705</v>
      </c>
      <c r="AJ34">
        <f t="shared" si="29"/>
        <v>8.3713080168776361</v>
      </c>
      <c r="AK34">
        <f t="shared" si="29"/>
        <v>53.308227848101268</v>
      </c>
      <c r="AL34">
        <f t="shared" si="30"/>
        <v>0.22745703803823134</v>
      </c>
      <c r="AM34">
        <f t="shared" si="30"/>
        <v>7.9669820428654177</v>
      </c>
      <c r="AN34">
        <f t="shared" si="30"/>
        <v>53.805560919096351</v>
      </c>
      <c r="AO34">
        <f t="shared" si="31"/>
        <v>0.30179894179894184</v>
      </c>
      <c r="AP34">
        <f t="shared" si="31"/>
        <v>7.8139682539682536</v>
      </c>
      <c r="AQ34">
        <f t="shared" si="31"/>
        <v>53.884232804232809</v>
      </c>
      <c r="AR34">
        <f t="shared" si="32"/>
        <v>0.42729635069483674</v>
      </c>
      <c r="AS34">
        <f t="shared" si="32"/>
        <v>8.7140436108914248</v>
      </c>
      <c r="AT34">
        <f t="shared" si="32"/>
        <v>52.858660038413738</v>
      </c>
      <c r="AU34">
        <f t="shared" si="33"/>
        <v>3.6149536984108839E-2</v>
      </c>
      <c r="AV34">
        <f t="shared" si="33"/>
        <v>0.88105636218131933</v>
      </c>
      <c r="AW34">
        <f t="shared" si="33"/>
        <v>5.2827941008345718</v>
      </c>
      <c r="AX34">
        <f t="shared" si="34"/>
        <v>3.2046413502109711E-2</v>
      </c>
      <c r="AY34">
        <f t="shared" si="34"/>
        <v>0.83713080168776366</v>
      </c>
      <c r="AZ34">
        <f t="shared" si="34"/>
        <v>5.3308227848101266</v>
      </c>
      <c r="BA34">
        <f t="shared" si="35"/>
        <v>2.2745703803823132E-2</v>
      </c>
      <c r="BB34">
        <f t="shared" si="35"/>
        <v>0.79669820428654181</v>
      </c>
      <c r="BC34">
        <f t="shared" si="35"/>
        <v>5.3805560919096349</v>
      </c>
      <c r="BD34">
        <f t="shared" si="36"/>
        <v>3.0179894179894182E-2</v>
      </c>
      <c r="BE34">
        <f t="shared" si="36"/>
        <v>0.78139682539682531</v>
      </c>
      <c r="BF34">
        <f t="shared" si="36"/>
        <v>5.3884232804232806</v>
      </c>
      <c r="BG34">
        <f t="shared" si="37"/>
        <v>4.2729635069483678E-2</v>
      </c>
      <c r="BH34">
        <f t="shared" si="37"/>
        <v>0.87140436108914254</v>
      </c>
      <c r="BI34">
        <f t="shared" si="37"/>
        <v>5.2858660038413738</v>
      </c>
      <c r="BJ34">
        <f t="shared" si="38"/>
        <v>16.325597347662054</v>
      </c>
      <c r="BK34">
        <f t="shared" si="50"/>
        <v>397.89642163027327</v>
      </c>
      <c r="BL34">
        <f t="shared" si="39"/>
        <v>2385.7779810220645</v>
      </c>
      <c r="BM34">
        <f t="shared" si="40"/>
        <v>14.472573839662449</v>
      </c>
      <c r="BN34">
        <f t="shared" si="40"/>
        <v>378.05907172995779</v>
      </c>
      <c r="BO34">
        <f t="shared" si="40"/>
        <v>2407.4683544303798</v>
      </c>
      <c r="BP34">
        <f t="shared" si="41"/>
        <v>10.272253330758835</v>
      </c>
      <c r="BQ34">
        <f t="shared" si="41"/>
        <v>359.79918903263177</v>
      </c>
      <c r="BR34">
        <f t="shared" si="41"/>
        <v>2429.9285576366092</v>
      </c>
      <c r="BS34">
        <f t="shared" si="42"/>
        <v>13.62962962962963</v>
      </c>
      <c r="BT34">
        <f t="shared" si="42"/>
        <v>352.88888888888886</v>
      </c>
      <c r="BU34">
        <f t="shared" si="42"/>
        <v>2433.4814814814818</v>
      </c>
      <c r="BV34">
        <f t="shared" si="43"/>
        <v>19.297254547508757</v>
      </c>
      <c r="BW34">
        <f t="shared" si="43"/>
        <v>393.53745339509663</v>
      </c>
      <c r="BX34">
        <f t="shared" si="43"/>
        <v>2387.1652920573947</v>
      </c>
    </row>
    <row r="35" spans="1:76" x14ac:dyDescent="0.35">
      <c r="A35">
        <v>2056</v>
      </c>
      <c r="B35" s="5">
        <f t="shared" ref="B35:E38" si="55">B34+((B$39-B$34)/5)</f>
        <v>51.2</v>
      </c>
      <c r="C35" s="5">
        <f t="shared" si="55"/>
        <v>1231.2</v>
      </c>
      <c r="D35" s="5">
        <f t="shared" si="55"/>
        <v>7456</v>
      </c>
      <c r="E35" s="5">
        <f>E34+((E$39-E$34)/5)</f>
        <v>49.4</v>
      </c>
      <c r="F35" s="5">
        <f t="shared" ref="F35:P38" si="56">F34+((F$39-F$34)/5)</f>
        <v>1269.4000000000001</v>
      </c>
      <c r="G35" s="5">
        <f t="shared" si="56"/>
        <v>8179</v>
      </c>
      <c r="H35" s="5">
        <f t="shared" si="56"/>
        <v>38</v>
      </c>
      <c r="I35" s="5">
        <f t="shared" si="56"/>
        <v>1322.8</v>
      </c>
      <c r="J35" s="5">
        <f t="shared" si="56"/>
        <v>9057.4</v>
      </c>
      <c r="K35" s="5">
        <f t="shared" si="56"/>
        <v>46</v>
      </c>
      <c r="L35" s="5">
        <f t="shared" si="56"/>
        <v>1177.2</v>
      </c>
      <c r="M35" s="5">
        <f t="shared" si="56"/>
        <v>8246.4</v>
      </c>
      <c r="N35" s="5">
        <f t="shared" si="56"/>
        <v>61.8</v>
      </c>
      <c r="O35" s="5">
        <f t="shared" si="56"/>
        <v>1232.4000000000001</v>
      </c>
      <c r="P35" s="5">
        <f t="shared" si="56"/>
        <v>7554.2</v>
      </c>
      <c r="Q35">
        <f t="shared" si="22"/>
        <v>4.1014373340657335E-2</v>
      </c>
      <c r="R35">
        <f t="shared" si="23"/>
        <v>0.98626750892611925</v>
      </c>
      <c r="S35">
        <f t="shared" si="23"/>
        <v>5.9727181177332236</v>
      </c>
      <c r="T35">
        <f t="shared" si="24"/>
        <v>3.6408431426225026E-2</v>
      </c>
      <c r="U35">
        <f t="shared" si="24"/>
        <v>0.9355640253532399</v>
      </c>
      <c r="V35">
        <f t="shared" si="24"/>
        <v>6.0280275432205359</v>
      </c>
      <c r="W35">
        <f t="shared" si="25"/>
        <v>2.553224165402853E-2</v>
      </c>
      <c r="X35">
        <f t="shared" si="25"/>
        <v>0.88879076999865625</v>
      </c>
      <c r="Y35">
        <f t="shared" si="25"/>
        <v>6.0856769883473154</v>
      </c>
      <c r="Z35">
        <f t="shared" si="26"/>
        <v>3.4003548196333527E-2</v>
      </c>
      <c r="AA35">
        <f t="shared" si="26"/>
        <v>0.8701951507983442</v>
      </c>
      <c r="AB35">
        <f t="shared" si="26"/>
        <v>6.0958013010053218</v>
      </c>
      <c r="AC35">
        <f t="shared" si="27"/>
        <v>4.8890194837484739E-2</v>
      </c>
      <c r="AD35">
        <f t="shared" si="27"/>
        <v>0.97495592423489008</v>
      </c>
      <c r="AE35">
        <f t="shared" si="27"/>
        <v>5.9761538809276251</v>
      </c>
      <c r="AF35">
        <f t="shared" si="28"/>
        <v>0.36327016387439354</v>
      </c>
      <c r="AG35">
        <f t="shared" si="28"/>
        <v>8.7355122219170553</v>
      </c>
      <c r="AH35">
        <f t="shared" si="28"/>
        <v>52.901217614208555</v>
      </c>
      <c r="AI35">
        <f t="shared" si="29"/>
        <v>0.32247467834656451</v>
      </c>
      <c r="AJ35">
        <f t="shared" si="29"/>
        <v>8.2864242245572672</v>
      </c>
      <c r="AK35">
        <f t="shared" si="29"/>
        <v>53.391101097096175</v>
      </c>
      <c r="AL35">
        <f t="shared" si="30"/>
        <v>0.22614271179282414</v>
      </c>
      <c r="AM35">
        <f t="shared" si="30"/>
        <v>7.8721468199880986</v>
      </c>
      <c r="AN35">
        <f t="shared" si="30"/>
        <v>53.901710468219079</v>
      </c>
      <c r="AO35">
        <f t="shared" si="31"/>
        <v>0.30117428402466839</v>
      </c>
      <c r="AP35">
        <f t="shared" si="31"/>
        <v>7.7074427642139058</v>
      </c>
      <c r="AQ35">
        <f t="shared" si="31"/>
        <v>53.991382951761423</v>
      </c>
      <c r="AR35">
        <f t="shared" si="32"/>
        <v>0.43302743998915055</v>
      </c>
      <c r="AS35">
        <f t="shared" si="32"/>
        <v>8.6353239003661688</v>
      </c>
      <c r="AT35">
        <f t="shared" si="32"/>
        <v>52.931648659644679</v>
      </c>
      <c r="AU35">
        <f t="shared" si="33"/>
        <v>3.6327016387439355E-2</v>
      </c>
      <c r="AV35">
        <f t="shared" si="33"/>
        <v>0.87355122219170567</v>
      </c>
      <c r="AW35">
        <f t="shared" si="33"/>
        <v>5.2901217614208553</v>
      </c>
      <c r="AX35">
        <f t="shared" si="34"/>
        <v>3.224746783465645E-2</v>
      </c>
      <c r="AY35">
        <f t="shared" si="34"/>
        <v>0.82864242245572683</v>
      </c>
      <c r="AZ35">
        <f t="shared" si="34"/>
        <v>5.3391101097096172</v>
      </c>
      <c r="BA35">
        <f t="shared" si="35"/>
        <v>2.2614271179282414E-2</v>
      </c>
      <c r="BB35">
        <f t="shared" si="35"/>
        <v>0.78721468199880984</v>
      </c>
      <c r="BC35">
        <f t="shared" si="35"/>
        <v>5.3901710468219086</v>
      </c>
      <c r="BD35">
        <f t="shared" si="36"/>
        <v>3.0117428402466839E-2</v>
      </c>
      <c r="BE35">
        <f t="shared" si="36"/>
        <v>0.77074427642139065</v>
      </c>
      <c r="BF35">
        <f t="shared" si="36"/>
        <v>5.3991382951761429</v>
      </c>
      <c r="BG35">
        <f t="shared" si="37"/>
        <v>4.3302743998915059E-2</v>
      </c>
      <c r="BH35">
        <f t="shared" si="37"/>
        <v>0.86353239003661697</v>
      </c>
      <c r="BI35">
        <f t="shared" si="37"/>
        <v>5.2931648659644681</v>
      </c>
      <c r="BJ35">
        <f t="shared" si="38"/>
        <v>16.405749336262932</v>
      </c>
      <c r="BK35">
        <f t="shared" si="50"/>
        <v>394.50700357044769</v>
      </c>
      <c r="BL35">
        <f t="shared" si="39"/>
        <v>2389.0872470932895</v>
      </c>
      <c r="BM35">
        <f t="shared" si="40"/>
        <v>14.56337257049001</v>
      </c>
      <c r="BN35">
        <f t="shared" si="40"/>
        <v>374.22561014129599</v>
      </c>
      <c r="BO35">
        <f t="shared" si="40"/>
        <v>2411.2110172882144</v>
      </c>
      <c r="BP35">
        <f t="shared" si="41"/>
        <v>10.212896661611412</v>
      </c>
      <c r="BQ35">
        <f t="shared" si="41"/>
        <v>355.51630799946253</v>
      </c>
      <c r="BR35">
        <f t="shared" si="41"/>
        <v>2434.2707953389263</v>
      </c>
      <c r="BS35">
        <f t="shared" si="42"/>
        <v>13.601419278533411</v>
      </c>
      <c r="BT35">
        <f t="shared" si="42"/>
        <v>348.07806031933768</v>
      </c>
      <c r="BU35">
        <f t="shared" si="42"/>
        <v>2438.3205204021287</v>
      </c>
      <c r="BV35">
        <f t="shared" si="43"/>
        <v>19.556077934993898</v>
      </c>
      <c r="BW35">
        <f t="shared" si="43"/>
        <v>389.98236969395606</v>
      </c>
      <c r="BX35">
        <f t="shared" si="43"/>
        <v>2390.4615523710499</v>
      </c>
    </row>
    <row r="36" spans="1:76" x14ac:dyDescent="0.35">
      <c r="A36">
        <v>2057</v>
      </c>
      <c r="B36" s="5">
        <f t="shared" si="55"/>
        <v>51.400000000000006</v>
      </c>
      <c r="C36" s="5">
        <f t="shared" si="55"/>
        <v>1219.4000000000001</v>
      </c>
      <c r="D36" s="5">
        <f t="shared" si="55"/>
        <v>7459</v>
      </c>
      <c r="E36" s="5">
        <f t="shared" si="55"/>
        <v>49.8</v>
      </c>
      <c r="F36" s="5">
        <f t="shared" si="56"/>
        <v>1258.8000000000002</v>
      </c>
      <c r="G36" s="5">
        <f t="shared" si="56"/>
        <v>8207</v>
      </c>
      <c r="H36" s="5">
        <f t="shared" si="56"/>
        <v>38</v>
      </c>
      <c r="I36" s="5">
        <f t="shared" si="56"/>
        <v>1314.6</v>
      </c>
      <c r="J36" s="5">
        <f t="shared" si="56"/>
        <v>9125.7999999999993</v>
      </c>
      <c r="K36" s="5">
        <f t="shared" si="56"/>
        <v>46</v>
      </c>
      <c r="L36" s="5">
        <f t="shared" si="56"/>
        <v>1163.4000000000001</v>
      </c>
      <c r="M36" s="5">
        <f t="shared" si="56"/>
        <v>8279.7999999999993</v>
      </c>
      <c r="N36" s="5">
        <f t="shared" si="56"/>
        <v>62.599999999999994</v>
      </c>
      <c r="O36" s="5">
        <f t="shared" si="56"/>
        <v>1220.8000000000002</v>
      </c>
      <c r="P36" s="5">
        <f t="shared" si="56"/>
        <v>7562.4</v>
      </c>
      <c r="Q36">
        <f t="shared" si="22"/>
        <v>4.121514811335885E-2</v>
      </c>
      <c r="R36">
        <f t="shared" si="23"/>
        <v>0.97777726866594894</v>
      </c>
      <c r="S36">
        <f t="shared" si="23"/>
        <v>5.981007583220693</v>
      </c>
      <c r="T36">
        <f t="shared" si="24"/>
        <v>3.6634579007104123E-2</v>
      </c>
      <c r="U36">
        <f t="shared" si="24"/>
        <v>0.92601622598680078</v>
      </c>
      <c r="V36">
        <f t="shared" si="24"/>
        <v>6.0373491950060947</v>
      </c>
      <c r="W36">
        <f t="shared" si="25"/>
        <v>2.5385555046571993E-2</v>
      </c>
      <c r="X36">
        <f t="shared" si="25"/>
        <v>0.87820659642693533</v>
      </c>
      <c r="Y36">
        <f t="shared" si="25"/>
        <v>6.0964078485264919</v>
      </c>
      <c r="Z36">
        <f t="shared" si="26"/>
        <v>3.3933313661847153E-2</v>
      </c>
      <c r="AA36">
        <f t="shared" si="26"/>
        <v>0.85821776335202138</v>
      </c>
      <c r="AB36">
        <f t="shared" si="26"/>
        <v>6.1078489229861317</v>
      </c>
      <c r="AC36">
        <f t="shared" si="27"/>
        <v>4.9537633679260208E-2</v>
      </c>
      <c r="AD36">
        <f t="shared" si="27"/>
        <v>0.96606299034570098</v>
      </c>
      <c r="AE36">
        <f t="shared" si="27"/>
        <v>5.9843993759750393</v>
      </c>
      <c r="AF36">
        <f t="shared" si="28"/>
        <v>0.36504845471832126</v>
      </c>
      <c r="AG36">
        <f t="shared" si="28"/>
        <v>8.6603129510412629</v>
      </c>
      <c r="AH36">
        <f t="shared" si="28"/>
        <v>52.974638594240417</v>
      </c>
      <c r="AI36">
        <f t="shared" si="29"/>
        <v>0.32447769977720792</v>
      </c>
      <c r="AJ36">
        <f t="shared" si="29"/>
        <v>8.2018580015973779</v>
      </c>
      <c r="AK36">
        <f t="shared" si="29"/>
        <v>53.473664298625408</v>
      </c>
      <c r="AL36">
        <f t="shared" si="30"/>
        <v>0.22484348755535197</v>
      </c>
      <c r="AM36">
        <f t="shared" si="30"/>
        <v>7.77840128263857</v>
      </c>
      <c r="AN36">
        <f t="shared" si="30"/>
        <v>53.996755229806077</v>
      </c>
      <c r="AO36">
        <f t="shared" si="31"/>
        <v>0.30055220671921767</v>
      </c>
      <c r="AP36">
        <f t="shared" si="31"/>
        <v>7.6013573325464749</v>
      </c>
      <c r="AQ36">
        <f t="shared" si="31"/>
        <v>54.098090460734305</v>
      </c>
      <c r="AR36">
        <f t="shared" si="32"/>
        <v>0.438761898302019</v>
      </c>
      <c r="AS36">
        <f t="shared" si="32"/>
        <v>8.5565579144904937</v>
      </c>
      <c r="AT36">
        <f t="shared" si="32"/>
        <v>53.004680187207491</v>
      </c>
      <c r="AU36">
        <f t="shared" si="33"/>
        <v>3.6504845471832123E-2</v>
      </c>
      <c r="AV36">
        <f t="shared" si="33"/>
        <v>0.86603129510412624</v>
      </c>
      <c r="AW36">
        <f t="shared" si="33"/>
        <v>5.2974638594240417</v>
      </c>
      <c r="AX36">
        <f t="shared" si="34"/>
        <v>3.2447769977720795E-2</v>
      </c>
      <c r="AY36">
        <f t="shared" si="34"/>
        <v>0.82018580015973785</v>
      </c>
      <c r="AZ36">
        <f t="shared" si="34"/>
        <v>5.3473664298625412</v>
      </c>
      <c r="BA36">
        <f t="shared" si="35"/>
        <v>2.2484348755535195E-2</v>
      </c>
      <c r="BB36">
        <f t="shared" si="35"/>
        <v>0.77784012826385707</v>
      </c>
      <c r="BC36">
        <f t="shared" si="35"/>
        <v>5.3996755229806075</v>
      </c>
      <c r="BD36">
        <f t="shared" si="36"/>
        <v>3.0055220671921769E-2</v>
      </c>
      <c r="BE36">
        <f t="shared" si="36"/>
        <v>0.76013573325464756</v>
      </c>
      <c r="BF36">
        <f t="shared" si="36"/>
        <v>5.4098090460734314</v>
      </c>
      <c r="BG36">
        <f t="shared" si="37"/>
        <v>4.3876189830201903E-2</v>
      </c>
      <c r="BH36">
        <f t="shared" si="37"/>
        <v>0.85565579144904946</v>
      </c>
      <c r="BI36">
        <f t="shared" si="37"/>
        <v>5.3004680187207489</v>
      </c>
      <c r="BJ36">
        <f t="shared" si="38"/>
        <v>16.48605924534354</v>
      </c>
      <c r="BK36">
        <f t="shared" si="50"/>
        <v>391.11090746637962</v>
      </c>
      <c r="BL36">
        <f t="shared" si="39"/>
        <v>2392.4030332882771</v>
      </c>
      <c r="BM36">
        <f t="shared" si="40"/>
        <v>14.653831602841649</v>
      </c>
      <c r="BN36">
        <f t="shared" si="40"/>
        <v>370.40649039472032</v>
      </c>
      <c r="BO36">
        <f t="shared" si="40"/>
        <v>2414.9396780024381</v>
      </c>
      <c r="BP36">
        <f t="shared" si="41"/>
        <v>10.154222018628799</v>
      </c>
      <c r="BQ36">
        <f t="shared" si="41"/>
        <v>351.28263857077417</v>
      </c>
      <c r="BR36">
        <f t="shared" si="41"/>
        <v>2438.5631394105967</v>
      </c>
      <c r="BS36">
        <f t="shared" si="42"/>
        <v>13.573325464738863</v>
      </c>
      <c r="BT36">
        <f t="shared" si="42"/>
        <v>343.28710534080858</v>
      </c>
      <c r="BU36">
        <f t="shared" si="42"/>
        <v>2443.1395691944526</v>
      </c>
      <c r="BV36">
        <f t="shared" si="43"/>
        <v>19.815053471704083</v>
      </c>
      <c r="BW36">
        <f t="shared" si="43"/>
        <v>386.4251961382804</v>
      </c>
      <c r="BX36">
        <f t="shared" si="43"/>
        <v>2393.7597503900156</v>
      </c>
    </row>
    <row r="37" spans="1:76" x14ac:dyDescent="0.35">
      <c r="A37">
        <v>2058</v>
      </c>
      <c r="B37" s="5">
        <f t="shared" si="55"/>
        <v>51.600000000000009</v>
      </c>
      <c r="C37" s="5">
        <f t="shared" si="55"/>
        <v>1207.6000000000001</v>
      </c>
      <c r="D37" s="5">
        <f t="shared" si="55"/>
        <v>7462</v>
      </c>
      <c r="E37" s="5">
        <f t="shared" si="55"/>
        <v>50.199999999999996</v>
      </c>
      <c r="F37" s="5">
        <f t="shared" si="56"/>
        <v>1248.2000000000003</v>
      </c>
      <c r="G37" s="5">
        <f t="shared" si="56"/>
        <v>8235</v>
      </c>
      <c r="H37" s="5">
        <f t="shared" si="56"/>
        <v>38</v>
      </c>
      <c r="I37" s="5">
        <f t="shared" si="56"/>
        <v>1306.3999999999999</v>
      </c>
      <c r="J37" s="5">
        <f t="shared" si="56"/>
        <v>9194.1999999999989</v>
      </c>
      <c r="K37" s="5">
        <f t="shared" si="56"/>
        <v>46</v>
      </c>
      <c r="L37" s="5">
        <f t="shared" si="56"/>
        <v>1149.6000000000001</v>
      </c>
      <c r="M37" s="5">
        <f t="shared" si="56"/>
        <v>8313.1999999999989</v>
      </c>
      <c r="N37" s="5">
        <f t="shared" si="56"/>
        <v>63.399999999999991</v>
      </c>
      <c r="O37" s="5">
        <f t="shared" si="56"/>
        <v>1209.2000000000003</v>
      </c>
      <c r="P37" s="5">
        <f t="shared" si="56"/>
        <v>7570.5999999999995</v>
      </c>
      <c r="Q37">
        <f t="shared" si="22"/>
        <v>4.1416318855203416E-2</v>
      </c>
      <c r="R37">
        <f t="shared" si="23"/>
        <v>0.96927028390588466</v>
      </c>
      <c r="S37">
        <f t="shared" si="23"/>
        <v>5.9893133972389112</v>
      </c>
      <c r="T37">
        <f t="shared" si="24"/>
        <v>3.6859882098726579E-2</v>
      </c>
      <c r="U37">
        <f t="shared" si="24"/>
        <v>0.91650408039104647</v>
      </c>
      <c r="V37">
        <f t="shared" si="24"/>
        <v>6.0466360375102273</v>
      </c>
      <c r="W37">
        <f t="shared" si="25"/>
        <v>2.5240544284819616E-2</v>
      </c>
      <c r="X37">
        <f t="shared" si="25"/>
        <v>0.86774334351811444</v>
      </c>
      <c r="Y37">
        <f t="shared" si="25"/>
        <v>6.1070161121970656</v>
      </c>
      <c r="Z37">
        <f t="shared" si="26"/>
        <v>3.3863368669022384E-2</v>
      </c>
      <c r="AA37">
        <f t="shared" si="26"/>
        <v>0.84628975265017692</v>
      </c>
      <c r="AB37">
        <f t="shared" si="26"/>
        <v>6.1198468786808009</v>
      </c>
      <c r="AC37">
        <f t="shared" si="27"/>
        <v>5.0185453229600135E-2</v>
      </c>
      <c r="AD37">
        <f t="shared" si="27"/>
        <v>0.95716482721186913</v>
      </c>
      <c r="AE37">
        <f t="shared" si="27"/>
        <v>5.9926497195585302</v>
      </c>
      <c r="AF37">
        <f t="shared" si="28"/>
        <v>0.36683025271751596</v>
      </c>
      <c r="AG37">
        <f t="shared" si="28"/>
        <v>8.5849653717378356</v>
      </c>
      <c r="AH37">
        <f t="shared" si="28"/>
        <v>53.048204375544643</v>
      </c>
      <c r="AI37">
        <f t="shared" si="29"/>
        <v>0.32647324144586404</v>
      </c>
      <c r="AJ37">
        <f t="shared" si="29"/>
        <v>8.1176075691778404</v>
      </c>
      <c r="AK37">
        <f t="shared" si="29"/>
        <v>53.555919189376297</v>
      </c>
      <c r="AL37">
        <f t="shared" si="30"/>
        <v>0.22355910652268804</v>
      </c>
      <c r="AM37">
        <f t="shared" si="30"/>
        <v>7.6857267568747272</v>
      </c>
      <c r="AN37">
        <f t="shared" si="30"/>
        <v>54.090714136602585</v>
      </c>
      <c r="AO37">
        <f t="shared" si="31"/>
        <v>0.29993269392562683</v>
      </c>
      <c r="AP37">
        <f t="shared" si="31"/>
        <v>7.4957092377587093</v>
      </c>
      <c r="AQ37">
        <f t="shared" si="31"/>
        <v>54.204358068315663</v>
      </c>
      <c r="AR37">
        <f t="shared" si="32"/>
        <v>0.44449972860502973</v>
      </c>
      <c r="AS37">
        <f t="shared" si="32"/>
        <v>8.4777456124479826</v>
      </c>
      <c r="AT37">
        <f t="shared" si="32"/>
        <v>53.077754658946979</v>
      </c>
      <c r="AU37">
        <f t="shared" si="33"/>
        <v>3.6683025271751601E-2</v>
      </c>
      <c r="AV37">
        <f t="shared" si="33"/>
        <v>0.85849653717378349</v>
      </c>
      <c r="AW37">
        <f t="shared" si="33"/>
        <v>5.304820437554465</v>
      </c>
      <c r="AX37">
        <f t="shared" si="34"/>
        <v>3.2647324144586404E-2</v>
      </c>
      <c r="AY37">
        <f t="shared" si="34"/>
        <v>0.81176075691778404</v>
      </c>
      <c r="AZ37">
        <f t="shared" si="34"/>
        <v>5.3555919189376295</v>
      </c>
      <c r="BA37">
        <f t="shared" si="35"/>
        <v>2.2355910652268805E-2</v>
      </c>
      <c r="BB37">
        <f t="shared" si="35"/>
        <v>0.76857267568747278</v>
      </c>
      <c r="BC37">
        <f t="shared" si="35"/>
        <v>5.4090714136602589</v>
      </c>
      <c r="BD37">
        <f t="shared" si="36"/>
        <v>2.999326939256268E-2</v>
      </c>
      <c r="BE37">
        <f t="shared" si="36"/>
        <v>0.74957092377587098</v>
      </c>
      <c r="BF37">
        <f t="shared" si="36"/>
        <v>5.4204358068315663</v>
      </c>
      <c r="BG37">
        <f t="shared" si="37"/>
        <v>4.4449972860502979E-2</v>
      </c>
      <c r="BH37">
        <f t="shared" si="37"/>
        <v>0.84777456124479833</v>
      </c>
      <c r="BI37">
        <f t="shared" si="37"/>
        <v>5.3077754658946983</v>
      </c>
      <c r="BJ37">
        <f t="shared" si="38"/>
        <v>16.566527542081367</v>
      </c>
      <c r="BK37">
        <f t="shared" si="50"/>
        <v>387.70811356235384</v>
      </c>
      <c r="BL37">
        <f t="shared" si="39"/>
        <v>2395.7253588955646</v>
      </c>
      <c r="BM37">
        <f t="shared" si="40"/>
        <v>14.743952839490634</v>
      </c>
      <c r="BN37">
        <f t="shared" si="40"/>
        <v>366.60163215641859</v>
      </c>
      <c r="BO37">
        <f t="shared" si="40"/>
        <v>2418.6544150040909</v>
      </c>
      <c r="BP37">
        <f t="shared" si="41"/>
        <v>10.096217713927848</v>
      </c>
      <c r="BQ37">
        <f t="shared" si="41"/>
        <v>347.09733740724573</v>
      </c>
      <c r="BR37">
        <f t="shared" si="41"/>
        <v>2442.8064448788264</v>
      </c>
      <c r="BS37">
        <f t="shared" si="42"/>
        <v>13.545347467608952</v>
      </c>
      <c r="BT37">
        <f t="shared" si="42"/>
        <v>338.51590106007075</v>
      </c>
      <c r="BU37">
        <f t="shared" si="42"/>
        <v>2447.9387514723203</v>
      </c>
      <c r="BV37">
        <f t="shared" si="43"/>
        <v>20.074181291840052</v>
      </c>
      <c r="BW37">
        <f t="shared" si="43"/>
        <v>382.86593088474763</v>
      </c>
      <c r="BX37">
        <f t="shared" si="43"/>
        <v>2397.0598878234118</v>
      </c>
    </row>
    <row r="38" spans="1:76" x14ac:dyDescent="0.35">
      <c r="A38">
        <v>2059</v>
      </c>
      <c r="B38" s="5">
        <f t="shared" si="55"/>
        <v>51.800000000000011</v>
      </c>
      <c r="C38" s="5">
        <f t="shared" si="55"/>
        <v>1195.8000000000002</v>
      </c>
      <c r="D38" s="5">
        <f t="shared" si="55"/>
        <v>7465</v>
      </c>
      <c r="E38" s="5">
        <f t="shared" si="55"/>
        <v>50.599999999999994</v>
      </c>
      <c r="F38" s="5">
        <f t="shared" si="56"/>
        <v>1237.6000000000004</v>
      </c>
      <c r="G38" s="5">
        <f t="shared" si="56"/>
        <v>8263</v>
      </c>
      <c r="H38" s="5">
        <f t="shared" si="56"/>
        <v>38</v>
      </c>
      <c r="I38" s="5">
        <f t="shared" si="56"/>
        <v>1298.1999999999998</v>
      </c>
      <c r="J38" s="5">
        <f t="shared" si="56"/>
        <v>9262.5999999999985</v>
      </c>
      <c r="K38" s="5">
        <f t="shared" si="56"/>
        <v>46</v>
      </c>
      <c r="L38" s="5">
        <f t="shared" si="56"/>
        <v>1135.8000000000002</v>
      </c>
      <c r="M38" s="5">
        <f t="shared" si="56"/>
        <v>8346.5999999999985</v>
      </c>
      <c r="N38" s="5">
        <f t="shared" si="56"/>
        <v>64.199999999999989</v>
      </c>
      <c r="O38" s="5">
        <f t="shared" si="56"/>
        <v>1197.6000000000004</v>
      </c>
      <c r="P38" s="5">
        <f t="shared" si="56"/>
        <v>7578.7999999999993</v>
      </c>
      <c r="Q38">
        <f t="shared" si="22"/>
        <v>4.1617886738746196E-2</v>
      </c>
      <c r="R38">
        <f t="shared" si="23"/>
        <v>0.96074650506163506</v>
      </c>
      <c r="S38">
        <f t="shared" si="23"/>
        <v>5.9976356081996185</v>
      </c>
      <c r="T38">
        <f t="shared" si="24"/>
        <v>3.7084345422564696E-2</v>
      </c>
      <c r="U38">
        <f t="shared" si="24"/>
        <v>0.90702738922857873</v>
      </c>
      <c r="V38">
        <f t="shared" si="24"/>
        <v>6.0558882653488562</v>
      </c>
      <c r="W38">
        <f t="shared" si="25"/>
        <v>2.5097180812922219E-2</v>
      </c>
      <c r="X38">
        <f t="shared" si="25"/>
        <v>0.85739895082462159</v>
      </c>
      <c r="Y38">
        <f t="shared" si="25"/>
        <v>6.1175038683624559</v>
      </c>
      <c r="Z38">
        <f t="shared" si="26"/>
        <v>3.3793711431090223E-2</v>
      </c>
      <c r="AA38">
        <f t="shared" si="26"/>
        <v>0.83441081398765826</v>
      </c>
      <c r="AB38">
        <f t="shared" si="26"/>
        <v>6.131795474581252</v>
      </c>
      <c r="AC38">
        <f t="shared" si="27"/>
        <v>5.0833653824401047E-2</v>
      </c>
      <c r="AD38">
        <f t="shared" si="27"/>
        <v>0.94826143021966858</v>
      </c>
      <c r="AE38">
        <f t="shared" si="27"/>
        <v>6.00090491595593</v>
      </c>
      <c r="AF38">
        <f t="shared" si="28"/>
        <v>0.36861556825746628</v>
      </c>
      <c r="AG38">
        <f t="shared" si="28"/>
        <v>8.5094690448316257</v>
      </c>
      <c r="AH38">
        <f t="shared" si="28"/>
        <v>53.121915386910906</v>
      </c>
      <c r="AI38">
        <f t="shared" si="29"/>
        <v>0.32846134517128733</v>
      </c>
      <c r="AJ38">
        <f t="shared" si="29"/>
        <v>8.033671161738841</v>
      </c>
      <c r="AK38">
        <f t="shared" si="29"/>
        <v>53.637867493089871</v>
      </c>
      <c r="AL38">
        <f t="shared" si="30"/>
        <v>0.2222893157715968</v>
      </c>
      <c r="AM38">
        <f t="shared" si="30"/>
        <v>7.5941049930180773</v>
      </c>
      <c r="AN38">
        <f t="shared" si="30"/>
        <v>54.183605691210317</v>
      </c>
      <c r="AO38">
        <f t="shared" si="31"/>
        <v>0.29931572981822768</v>
      </c>
      <c r="AP38">
        <f t="shared" si="31"/>
        <v>7.390495781033545</v>
      </c>
      <c r="AQ38">
        <f t="shared" si="31"/>
        <v>54.310188489148231</v>
      </c>
      <c r="AR38">
        <f t="shared" si="32"/>
        <v>0.45024093387326641</v>
      </c>
      <c r="AS38">
        <f t="shared" si="32"/>
        <v>8.3988869533742072</v>
      </c>
      <c r="AT38">
        <f t="shared" si="32"/>
        <v>53.150872112752516</v>
      </c>
      <c r="AU38">
        <f t="shared" si="33"/>
        <v>3.6861556825746628E-2</v>
      </c>
      <c r="AV38">
        <f t="shared" si="33"/>
        <v>0.85094690448316246</v>
      </c>
      <c r="AW38">
        <f t="shared" si="33"/>
        <v>5.3121915386910912</v>
      </c>
      <c r="AX38">
        <f t="shared" si="34"/>
        <v>3.2846134517128735E-2</v>
      </c>
      <c r="AY38">
        <f t="shared" si="34"/>
        <v>0.80336711617388412</v>
      </c>
      <c r="AZ38">
        <f t="shared" si="34"/>
        <v>5.3637867493089875</v>
      </c>
      <c r="BA38">
        <f t="shared" si="35"/>
        <v>2.2228931577159682E-2</v>
      </c>
      <c r="BB38">
        <f t="shared" si="35"/>
        <v>0.75941049930180771</v>
      </c>
      <c r="BC38">
        <f t="shared" si="35"/>
        <v>5.4183605691210319</v>
      </c>
      <c r="BD38">
        <f t="shared" si="36"/>
        <v>2.9931572981822769E-2</v>
      </c>
      <c r="BE38">
        <f t="shared" si="36"/>
        <v>0.73904957810335448</v>
      </c>
      <c r="BF38">
        <f t="shared" si="36"/>
        <v>5.4310188489148237</v>
      </c>
      <c r="BG38">
        <f t="shared" si="37"/>
        <v>4.5024093387326644E-2</v>
      </c>
      <c r="BH38">
        <f t="shared" si="37"/>
        <v>0.83988869533742072</v>
      </c>
      <c r="BI38">
        <f t="shared" si="37"/>
        <v>5.3150872112752516</v>
      </c>
      <c r="BJ38">
        <f t="shared" si="38"/>
        <v>16.647154695498479</v>
      </c>
      <c r="BK38">
        <f t="shared" si="50"/>
        <v>384.29860202465403</v>
      </c>
      <c r="BL38">
        <f t="shared" si="39"/>
        <v>2399.0542432798475</v>
      </c>
      <c r="BM38">
        <f t="shared" si="40"/>
        <v>14.83373816902588</v>
      </c>
      <c r="BN38">
        <f t="shared" si="40"/>
        <v>362.8109556914315</v>
      </c>
      <c r="BO38">
        <f t="shared" si="40"/>
        <v>2422.3553061395428</v>
      </c>
      <c r="BP38">
        <f t="shared" si="41"/>
        <v>10.038872325168889</v>
      </c>
      <c r="BQ38">
        <f t="shared" si="41"/>
        <v>342.95958032984868</v>
      </c>
      <c r="BR38">
        <f t="shared" si="41"/>
        <v>2447.0015473449821</v>
      </c>
      <c r="BS38">
        <f t="shared" si="42"/>
        <v>13.517484572436089</v>
      </c>
      <c r="BT38">
        <f t="shared" si="42"/>
        <v>333.76432559506333</v>
      </c>
      <c r="BU38">
        <f t="shared" si="42"/>
        <v>2452.7181898325007</v>
      </c>
      <c r="BV38">
        <f t="shared" si="43"/>
        <v>20.33346152976042</v>
      </c>
      <c r="BW38">
        <f t="shared" si="43"/>
        <v>379.30457208786743</v>
      </c>
      <c r="BX38">
        <f t="shared" si="43"/>
        <v>2400.361966382372</v>
      </c>
    </row>
    <row r="39" spans="1:76" x14ac:dyDescent="0.35">
      <c r="A39">
        <v>2060</v>
      </c>
      <c r="B39" s="5">
        <v>52</v>
      </c>
      <c r="C39" s="5">
        <v>1184</v>
      </c>
      <c r="D39" s="5">
        <v>7468</v>
      </c>
      <c r="E39" s="5">
        <v>51</v>
      </c>
      <c r="F39" s="5">
        <v>1227</v>
      </c>
      <c r="G39" s="5">
        <v>8291</v>
      </c>
      <c r="H39" s="5">
        <v>38</v>
      </c>
      <c r="I39" s="5">
        <v>1290</v>
      </c>
      <c r="J39" s="5">
        <v>9331</v>
      </c>
      <c r="K39" s="5">
        <v>46</v>
      </c>
      <c r="L39" s="5">
        <v>1122</v>
      </c>
      <c r="M39" s="5">
        <v>8380</v>
      </c>
      <c r="N39" s="5">
        <v>65</v>
      </c>
      <c r="O39" s="5">
        <v>1186</v>
      </c>
      <c r="P39" s="5">
        <v>7587</v>
      </c>
      <c r="Q39">
        <f t="shared" si="22"/>
        <v>4.1819852941176468E-2</v>
      </c>
      <c r="R39">
        <f t="shared" si="23"/>
        <v>0.95220588235294112</v>
      </c>
      <c r="S39">
        <f t="shared" si="23"/>
        <v>6.0059742647058822</v>
      </c>
      <c r="T39">
        <f t="shared" si="24"/>
        <v>3.7307973664959769E-2</v>
      </c>
      <c r="U39">
        <f t="shared" si="24"/>
        <v>0.89758595464520852</v>
      </c>
      <c r="V39">
        <f t="shared" si="24"/>
        <v>6.065106071689832</v>
      </c>
      <c r="W39">
        <f t="shared" si="25"/>
        <v>2.4955436720142603E-2</v>
      </c>
      <c r="X39">
        <f t="shared" si="25"/>
        <v>0.84717140444694627</v>
      </c>
      <c r="Y39">
        <f t="shared" si="25"/>
        <v>6.1278731588329114</v>
      </c>
      <c r="Z39">
        <f t="shared" si="26"/>
        <v>3.3724340175953084E-2</v>
      </c>
      <c r="AA39">
        <f t="shared" si="26"/>
        <v>0.82258064516129037</v>
      </c>
      <c r="AB39">
        <f t="shared" si="26"/>
        <v>6.1436950146627574</v>
      </c>
      <c r="AC39">
        <f t="shared" si="27"/>
        <v>5.1482235799954743E-2</v>
      </c>
      <c r="AD39">
        <f t="shared" si="27"/>
        <v>0.93935279474994349</v>
      </c>
      <c r="AE39">
        <f t="shared" si="27"/>
        <v>6.0091649694501017</v>
      </c>
      <c r="AF39">
        <f t="shared" si="28"/>
        <v>0.37040441176470584</v>
      </c>
      <c r="AG39">
        <f t="shared" si="28"/>
        <v>8.4338235294117645</v>
      </c>
      <c r="AH39">
        <f t="shared" si="28"/>
        <v>53.195772058823529</v>
      </c>
      <c r="AI39">
        <f t="shared" si="29"/>
        <v>0.33044205246107222</v>
      </c>
      <c r="AJ39">
        <f t="shared" si="29"/>
        <v>7.9500470268575611</v>
      </c>
      <c r="AK39">
        <f t="shared" si="29"/>
        <v>53.719510920681365</v>
      </c>
      <c r="AL39">
        <f t="shared" si="30"/>
        <v>0.2210338680926916</v>
      </c>
      <c r="AM39">
        <f t="shared" si="30"/>
        <v>7.5035181536729532</v>
      </c>
      <c r="AN39">
        <f t="shared" si="30"/>
        <v>54.275447978234354</v>
      </c>
      <c r="AO39">
        <f t="shared" si="31"/>
        <v>0.29870129870129875</v>
      </c>
      <c r="AP39">
        <f t="shared" si="31"/>
        <v>7.2857142857142856</v>
      </c>
      <c r="AQ39">
        <f t="shared" si="31"/>
        <v>54.415584415584419</v>
      </c>
      <c r="AR39">
        <f t="shared" si="32"/>
        <v>0.45598551708531343</v>
      </c>
      <c r="AS39">
        <f t="shared" si="32"/>
        <v>8.3199818963566425</v>
      </c>
      <c r="AT39">
        <f t="shared" si="32"/>
        <v>53.224032586558046</v>
      </c>
      <c r="AU39">
        <f t="shared" si="33"/>
        <v>3.7040441176470588E-2</v>
      </c>
      <c r="AV39">
        <f t="shared" si="33"/>
        <v>0.84338235294117647</v>
      </c>
      <c r="AW39">
        <f t="shared" si="33"/>
        <v>5.3195772058823536</v>
      </c>
      <c r="AX39">
        <f t="shared" si="34"/>
        <v>3.3044205246107225E-2</v>
      </c>
      <c r="AY39">
        <f t="shared" si="34"/>
        <v>0.79500470268575618</v>
      </c>
      <c r="AZ39">
        <f t="shared" si="34"/>
        <v>5.3719510920681373</v>
      </c>
      <c r="BA39">
        <f t="shared" si="35"/>
        <v>2.2103386809269161E-2</v>
      </c>
      <c r="BB39">
        <f t="shared" si="35"/>
        <v>0.75035181536729534</v>
      </c>
      <c r="BC39">
        <f t="shared" si="35"/>
        <v>5.4275447978234359</v>
      </c>
      <c r="BD39">
        <f t="shared" si="36"/>
        <v>2.9870129870129873E-2</v>
      </c>
      <c r="BE39">
        <f t="shared" si="36"/>
        <v>0.72857142857142865</v>
      </c>
      <c r="BF39">
        <f t="shared" si="36"/>
        <v>5.4415584415584419</v>
      </c>
      <c r="BG39">
        <f t="shared" si="37"/>
        <v>4.5598551708531346E-2</v>
      </c>
      <c r="BH39">
        <f t="shared" si="37"/>
        <v>0.8319981896356643</v>
      </c>
      <c r="BI39">
        <f t="shared" si="37"/>
        <v>5.3224032586558048</v>
      </c>
      <c r="BJ39">
        <f t="shared" si="38"/>
        <v>16.727941176470587</v>
      </c>
      <c r="BK39">
        <f t="shared" si="50"/>
        <v>380.88235294117646</v>
      </c>
      <c r="BL39">
        <f t="shared" si="39"/>
        <v>2402.3897058823532</v>
      </c>
      <c r="BM39">
        <f t="shared" si="40"/>
        <v>14.923189465983906</v>
      </c>
      <c r="BN39">
        <f t="shared" si="40"/>
        <v>359.03438185808341</v>
      </c>
      <c r="BO39">
        <f t="shared" si="40"/>
        <v>2426.0424286759326</v>
      </c>
      <c r="BP39">
        <f t="shared" si="41"/>
        <v>9.9821746880570412</v>
      </c>
      <c r="BQ39">
        <f t="shared" si="41"/>
        <v>338.86856177877848</v>
      </c>
      <c r="BR39">
        <f t="shared" si="41"/>
        <v>2451.1492635331647</v>
      </c>
      <c r="BS39">
        <f t="shared" si="42"/>
        <v>13.489736070381232</v>
      </c>
      <c r="BT39">
        <f t="shared" si="42"/>
        <v>329.03225806451616</v>
      </c>
      <c r="BU39">
        <f t="shared" si="42"/>
        <v>2457.4780058651027</v>
      </c>
      <c r="BV39">
        <f t="shared" si="43"/>
        <v>20.592894319981895</v>
      </c>
      <c r="BW39">
        <f t="shared" si="43"/>
        <v>375.74111789997738</v>
      </c>
      <c r="BX39">
        <f t="shared" si="43"/>
        <v>2403.6659877800407</v>
      </c>
    </row>
    <row r="40" spans="1:76" x14ac:dyDescent="0.35">
      <c r="A40">
        <v>2061</v>
      </c>
      <c r="B40" s="5">
        <f t="shared" ref="B40:E43" si="57">B39+((B$44-B$39)/5)</f>
        <v>52.4</v>
      </c>
      <c r="C40" s="5">
        <f t="shared" si="57"/>
        <v>1171.8</v>
      </c>
      <c r="D40" s="5">
        <f t="shared" si="57"/>
        <v>7464.6</v>
      </c>
      <c r="E40" s="5">
        <f>E39+((E$44-E$39)/5)</f>
        <v>51.2</v>
      </c>
      <c r="F40" s="5">
        <f t="shared" ref="F40:P43" si="58">F39+((F$44-F$39)/5)</f>
        <v>1215.8</v>
      </c>
      <c r="G40" s="5">
        <f t="shared" si="58"/>
        <v>8312.4</v>
      </c>
      <c r="H40" s="5">
        <f t="shared" si="58"/>
        <v>37.799999999999997</v>
      </c>
      <c r="I40" s="5">
        <f t="shared" si="58"/>
        <v>1282.2</v>
      </c>
      <c r="J40" s="5">
        <f t="shared" si="58"/>
        <v>9396.4</v>
      </c>
      <c r="K40" s="5">
        <f t="shared" si="58"/>
        <v>46.2</v>
      </c>
      <c r="L40" s="5">
        <f t="shared" si="58"/>
        <v>1107.5999999999999</v>
      </c>
      <c r="M40" s="5">
        <f t="shared" si="58"/>
        <v>8407.4</v>
      </c>
      <c r="N40" s="5">
        <f t="shared" si="58"/>
        <v>65.8</v>
      </c>
      <c r="O40" s="5">
        <f t="shared" si="58"/>
        <v>1173.8</v>
      </c>
      <c r="P40" s="5">
        <f t="shared" si="58"/>
        <v>7588.4</v>
      </c>
      <c r="Q40">
        <f t="shared" si="22"/>
        <v>4.2215265629315893E-2</v>
      </c>
      <c r="R40">
        <f t="shared" si="23"/>
        <v>0.9440429058097779</v>
      </c>
      <c r="S40">
        <f t="shared" si="23"/>
        <v>6.0137418285609057</v>
      </c>
      <c r="T40">
        <f t="shared" si="24"/>
        <v>3.7413616719209973E-2</v>
      </c>
      <c r="U40">
        <f t="shared" si="24"/>
        <v>0.88842725014092749</v>
      </c>
      <c r="V40">
        <f t="shared" si="24"/>
        <v>6.0741591331398626</v>
      </c>
      <c r="W40">
        <f t="shared" si="25"/>
        <v>2.4691127617483481E-2</v>
      </c>
      <c r="X40">
        <f t="shared" si="25"/>
        <v>0.83753872569146359</v>
      </c>
      <c r="Y40">
        <f t="shared" si="25"/>
        <v>6.1377701466910528</v>
      </c>
      <c r="Z40">
        <f t="shared" si="26"/>
        <v>3.3824206166589973E-2</v>
      </c>
      <c r="AA40">
        <f t="shared" si="26"/>
        <v>0.81090239718863744</v>
      </c>
      <c r="AB40">
        <f t="shared" si="26"/>
        <v>6.1552733966447732</v>
      </c>
      <c r="AC40">
        <f t="shared" si="27"/>
        <v>5.2174898051653824E-2</v>
      </c>
      <c r="AD40">
        <f t="shared" si="27"/>
        <v>0.93074309016764833</v>
      </c>
      <c r="AE40">
        <f t="shared" si="27"/>
        <v>6.0170820117806976</v>
      </c>
      <c r="AF40">
        <f t="shared" si="28"/>
        <v>0.37390663843108363</v>
      </c>
      <c r="AG40">
        <f t="shared" si="28"/>
        <v>8.3615228800294616</v>
      </c>
      <c r="AH40">
        <f t="shared" si="28"/>
        <v>53.264570481539451</v>
      </c>
      <c r="AI40">
        <f t="shared" si="29"/>
        <v>0.33137774808443116</v>
      </c>
      <c r="AJ40">
        <f t="shared" si="29"/>
        <v>7.8689270726767866</v>
      </c>
      <c r="AK40">
        <f t="shared" si="29"/>
        <v>53.799695179238782</v>
      </c>
      <c r="AL40">
        <f t="shared" si="30"/>
        <v>0.21869284461199656</v>
      </c>
      <c r="AM40">
        <f t="shared" si="30"/>
        <v>7.4182001418386783</v>
      </c>
      <c r="AN40">
        <f t="shared" si="30"/>
        <v>54.363107013549325</v>
      </c>
      <c r="AO40">
        <f t="shared" si="31"/>
        <v>0.29958582604693978</v>
      </c>
      <c r="AP40">
        <f t="shared" si="31"/>
        <v>7.1822783750993597</v>
      </c>
      <c r="AQ40">
        <f t="shared" si="31"/>
        <v>54.518135798853706</v>
      </c>
      <c r="AR40">
        <f t="shared" si="32"/>
        <v>0.46212052560036243</v>
      </c>
      <c r="AS40">
        <f t="shared" si="32"/>
        <v>8.2437245129134578</v>
      </c>
      <c r="AT40">
        <f t="shared" si="32"/>
        <v>53.294154961486178</v>
      </c>
      <c r="AU40">
        <f t="shared" si="33"/>
        <v>3.7390663843108365E-2</v>
      </c>
      <c r="AV40">
        <f t="shared" si="33"/>
        <v>0.83615228800294616</v>
      </c>
      <c r="AW40">
        <f t="shared" si="33"/>
        <v>5.3264570481539453</v>
      </c>
      <c r="AX40">
        <f t="shared" si="34"/>
        <v>3.313777480844312E-2</v>
      </c>
      <c r="AY40">
        <f t="shared" si="34"/>
        <v>0.78689270726767868</v>
      </c>
      <c r="AZ40">
        <f t="shared" si="34"/>
        <v>5.379969517923878</v>
      </c>
      <c r="BA40">
        <f t="shared" si="35"/>
        <v>2.1869284461199654E-2</v>
      </c>
      <c r="BB40">
        <f t="shared" si="35"/>
        <v>0.74182001418386778</v>
      </c>
      <c r="BC40">
        <f t="shared" si="35"/>
        <v>5.436310701354933</v>
      </c>
      <c r="BD40">
        <f t="shared" si="36"/>
        <v>2.9958582604693976E-2</v>
      </c>
      <c r="BE40">
        <f t="shared" si="36"/>
        <v>0.71822783750993602</v>
      </c>
      <c r="BF40">
        <f t="shared" si="36"/>
        <v>5.4518135798853704</v>
      </c>
      <c r="BG40">
        <f t="shared" si="37"/>
        <v>4.6212052560036243E-2</v>
      </c>
      <c r="BH40">
        <f t="shared" si="37"/>
        <v>0.82437245129134573</v>
      </c>
      <c r="BI40">
        <f t="shared" si="37"/>
        <v>5.3294154961486182</v>
      </c>
      <c r="BJ40">
        <f t="shared" si="38"/>
        <v>16.886106251726357</v>
      </c>
      <c r="BK40">
        <f t="shared" si="50"/>
        <v>377.61716232391115</v>
      </c>
      <c r="BL40">
        <f t="shared" si="39"/>
        <v>2405.4967314243622</v>
      </c>
      <c r="BM40">
        <f t="shared" si="40"/>
        <v>14.965446687683988</v>
      </c>
      <c r="BN40">
        <f t="shared" si="40"/>
        <v>355.370900056371</v>
      </c>
      <c r="BO40">
        <f t="shared" si="40"/>
        <v>2429.6636532559451</v>
      </c>
      <c r="BP40">
        <f t="shared" si="41"/>
        <v>9.8764510469933917</v>
      </c>
      <c r="BQ40">
        <f t="shared" si="41"/>
        <v>335.01549027658547</v>
      </c>
      <c r="BR40">
        <f t="shared" si="41"/>
        <v>2455.108058676421</v>
      </c>
      <c r="BS40">
        <f t="shared" si="42"/>
        <v>13.52968246663599</v>
      </c>
      <c r="BT40">
        <f t="shared" si="42"/>
        <v>324.36095887545497</v>
      </c>
      <c r="BU40">
        <f t="shared" si="42"/>
        <v>2462.1093586579091</v>
      </c>
      <c r="BV40">
        <f t="shared" si="43"/>
        <v>20.869959220661531</v>
      </c>
      <c r="BW40">
        <f t="shared" si="43"/>
        <v>372.29723606705937</v>
      </c>
      <c r="BX40">
        <f t="shared" si="43"/>
        <v>2406.8328047122791</v>
      </c>
    </row>
    <row r="41" spans="1:76" x14ac:dyDescent="0.35">
      <c r="A41">
        <v>2062</v>
      </c>
      <c r="B41" s="5">
        <f t="shared" si="57"/>
        <v>52.8</v>
      </c>
      <c r="C41" s="5">
        <f t="shared" si="57"/>
        <v>1159.5999999999999</v>
      </c>
      <c r="D41" s="5">
        <f t="shared" si="57"/>
        <v>7461.2000000000007</v>
      </c>
      <c r="E41" s="5">
        <f t="shared" si="57"/>
        <v>51.400000000000006</v>
      </c>
      <c r="F41" s="5">
        <f t="shared" si="58"/>
        <v>1204.5999999999999</v>
      </c>
      <c r="G41" s="5">
        <f t="shared" si="58"/>
        <v>8333.7999999999993</v>
      </c>
      <c r="H41" s="5">
        <f t="shared" si="58"/>
        <v>37.599999999999994</v>
      </c>
      <c r="I41" s="5">
        <f t="shared" si="58"/>
        <v>1274.4000000000001</v>
      </c>
      <c r="J41" s="5">
        <f t="shared" si="58"/>
        <v>9461.7999999999993</v>
      </c>
      <c r="K41" s="5">
        <f t="shared" si="58"/>
        <v>46.400000000000006</v>
      </c>
      <c r="L41" s="5">
        <f t="shared" si="58"/>
        <v>1093.1999999999998</v>
      </c>
      <c r="M41" s="5">
        <f t="shared" si="58"/>
        <v>8434.7999999999993</v>
      </c>
      <c r="N41" s="5">
        <f t="shared" si="58"/>
        <v>66.599999999999994</v>
      </c>
      <c r="O41" s="5">
        <f t="shared" si="58"/>
        <v>1161.5999999999999</v>
      </c>
      <c r="P41" s="5">
        <f t="shared" si="58"/>
        <v>7589.7999999999993</v>
      </c>
      <c r="Q41">
        <f t="shared" si="22"/>
        <v>4.2612064194798002E-2</v>
      </c>
      <c r="R41">
        <f t="shared" si="23"/>
        <v>0.93585131894484397</v>
      </c>
      <c r="S41">
        <f t="shared" si="23"/>
        <v>6.0215366168603586</v>
      </c>
      <c r="T41">
        <f t="shared" si="24"/>
        <v>3.7519030636718187E-2</v>
      </c>
      <c r="U41">
        <f t="shared" si="24"/>
        <v>0.87928841060293228</v>
      </c>
      <c r="V41">
        <f t="shared" si="24"/>
        <v>6.0831925587603495</v>
      </c>
      <c r="W41">
        <f t="shared" si="25"/>
        <v>2.4429634854925837E-2</v>
      </c>
      <c r="X41">
        <f t="shared" si="25"/>
        <v>0.82800868774248648</v>
      </c>
      <c r="Y41">
        <f t="shared" si="25"/>
        <v>6.1475616774025879</v>
      </c>
      <c r="Z41">
        <f t="shared" si="26"/>
        <v>3.3923796791443861E-2</v>
      </c>
      <c r="AA41">
        <f t="shared" si="26"/>
        <v>0.79925635026737962</v>
      </c>
      <c r="AB41">
        <f t="shared" si="26"/>
        <v>6.1668198529411766</v>
      </c>
      <c r="AC41">
        <f t="shared" si="27"/>
        <v>5.2869131322295301E-2</v>
      </c>
      <c r="AD41">
        <f t="shared" si="27"/>
        <v>0.92211385801769097</v>
      </c>
      <c r="AE41">
        <f t="shared" si="27"/>
        <v>6.0250170106600134</v>
      </c>
      <c r="AF41">
        <f t="shared" si="28"/>
        <v>0.37742114001106802</v>
      </c>
      <c r="AG41">
        <f t="shared" si="28"/>
        <v>8.2889688249400457</v>
      </c>
      <c r="AH41">
        <f t="shared" si="28"/>
        <v>53.333610035048892</v>
      </c>
      <c r="AI41">
        <f t="shared" si="29"/>
        <v>0.33231141421093252</v>
      </c>
      <c r="AJ41">
        <f t="shared" si="29"/>
        <v>7.7879830653402573</v>
      </c>
      <c r="AK41">
        <f t="shared" si="29"/>
        <v>53.879705520448809</v>
      </c>
      <c r="AL41">
        <f t="shared" si="30"/>
        <v>0.21637676585791454</v>
      </c>
      <c r="AM41">
        <f t="shared" si="30"/>
        <v>7.3337912342905947</v>
      </c>
      <c r="AN41">
        <f t="shared" si="30"/>
        <v>54.44983199985149</v>
      </c>
      <c r="AO41">
        <f t="shared" si="31"/>
        <v>0.30046791443850274</v>
      </c>
      <c r="AP41">
        <f t="shared" si="31"/>
        <v>7.0791276737967905</v>
      </c>
      <c r="AQ41">
        <f t="shared" si="31"/>
        <v>54.620404411764703</v>
      </c>
      <c r="AR41">
        <f t="shared" si="32"/>
        <v>0.46826944885461552</v>
      </c>
      <c r="AS41">
        <f t="shared" si="32"/>
        <v>8.1672941710138343</v>
      </c>
      <c r="AT41">
        <f t="shared" si="32"/>
        <v>53.364436380131551</v>
      </c>
      <c r="AU41">
        <f t="shared" si="33"/>
        <v>3.7742114001106802E-2</v>
      </c>
      <c r="AV41">
        <f t="shared" si="33"/>
        <v>0.82889688249400462</v>
      </c>
      <c r="AW41">
        <f t="shared" si="33"/>
        <v>5.3333610035048888</v>
      </c>
      <c r="AX41">
        <f t="shared" si="34"/>
        <v>3.3231141421093249E-2</v>
      </c>
      <c r="AY41">
        <f t="shared" si="34"/>
        <v>0.77879830653402582</v>
      </c>
      <c r="AZ41">
        <f t="shared" si="34"/>
        <v>5.3879705520448811</v>
      </c>
      <c r="BA41">
        <f t="shared" si="35"/>
        <v>2.1637676585791455E-2</v>
      </c>
      <c r="BB41">
        <f t="shared" si="35"/>
        <v>0.73337912342905953</v>
      </c>
      <c r="BC41">
        <f t="shared" si="35"/>
        <v>5.444983199985149</v>
      </c>
      <c r="BD41">
        <f t="shared" si="36"/>
        <v>3.0046791443850276E-2</v>
      </c>
      <c r="BE41">
        <f t="shared" si="36"/>
        <v>0.70791276737967912</v>
      </c>
      <c r="BF41">
        <f t="shared" si="36"/>
        <v>5.4620404411764705</v>
      </c>
      <c r="BG41">
        <f t="shared" si="37"/>
        <v>4.6826944885461554E-2</v>
      </c>
      <c r="BH41">
        <f t="shared" si="37"/>
        <v>0.81672941710138347</v>
      </c>
      <c r="BI41">
        <f t="shared" si="37"/>
        <v>5.3364436380131552</v>
      </c>
      <c r="BJ41">
        <f t="shared" si="38"/>
        <v>17.044825677919203</v>
      </c>
      <c r="BK41">
        <f t="shared" si="50"/>
        <v>374.34052757793756</v>
      </c>
      <c r="BL41">
        <f t="shared" si="39"/>
        <v>2408.6146467441436</v>
      </c>
      <c r="BM41">
        <f t="shared" si="40"/>
        <v>15.007612254687274</v>
      </c>
      <c r="BN41">
        <f t="shared" si="40"/>
        <v>351.71536424117295</v>
      </c>
      <c r="BO41">
        <f t="shared" si="40"/>
        <v>2433.2770235041398</v>
      </c>
      <c r="BP41">
        <f t="shared" si="41"/>
        <v>9.7718539419703347</v>
      </c>
      <c r="BQ41">
        <f t="shared" si="41"/>
        <v>331.20347509699462</v>
      </c>
      <c r="BR41">
        <f t="shared" si="41"/>
        <v>2459.0246709610351</v>
      </c>
      <c r="BS41">
        <f t="shared" si="42"/>
        <v>13.569518716577543</v>
      </c>
      <c r="BT41">
        <f t="shared" si="42"/>
        <v>319.70254010695186</v>
      </c>
      <c r="BU41">
        <f t="shared" si="42"/>
        <v>2466.7279411764707</v>
      </c>
      <c r="BV41">
        <f t="shared" si="43"/>
        <v>21.147652528918119</v>
      </c>
      <c r="BW41">
        <f t="shared" si="43"/>
        <v>368.84554320707639</v>
      </c>
      <c r="BX41">
        <f t="shared" si="43"/>
        <v>2410.0068042640055</v>
      </c>
    </row>
    <row r="42" spans="1:76" x14ac:dyDescent="0.35">
      <c r="A42">
        <v>2063</v>
      </c>
      <c r="B42" s="5">
        <f t="shared" si="57"/>
        <v>53.199999999999996</v>
      </c>
      <c r="C42" s="5">
        <f t="shared" si="57"/>
        <v>1147.3999999999999</v>
      </c>
      <c r="D42" s="5">
        <f t="shared" si="57"/>
        <v>7457.8000000000011</v>
      </c>
      <c r="E42" s="5">
        <f t="shared" si="57"/>
        <v>51.600000000000009</v>
      </c>
      <c r="F42" s="5">
        <f t="shared" si="58"/>
        <v>1193.3999999999999</v>
      </c>
      <c r="G42" s="5">
        <f t="shared" si="58"/>
        <v>8355.1999999999989</v>
      </c>
      <c r="H42" s="5">
        <f t="shared" si="58"/>
        <v>37.399999999999991</v>
      </c>
      <c r="I42" s="5">
        <f t="shared" si="58"/>
        <v>1266.6000000000001</v>
      </c>
      <c r="J42" s="5">
        <f t="shared" si="58"/>
        <v>9527.1999999999989</v>
      </c>
      <c r="K42" s="5">
        <f t="shared" si="58"/>
        <v>46.600000000000009</v>
      </c>
      <c r="L42" s="5">
        <f t="shared" si="58"/>
        <v>1078.7999999999997</v>
      </c>
      <c r="M42" s="5">
        <f t="shared" si="58"/>
        <v>8462.1999999999989</v>
      </c>
      <c r="N42" s="5">
        <f t="shared" si="58"/>
        <v>67.399999999999991</v>
      </c>
      <c r="O42" s="5">
        <f t="shared" si="58"/>
        <v>1149.3999999999999</v>
      </c>
      <c r="P42" s="5">
        <f t="shared" si="58"/>
        <v>7591.1999999999989</v>
      </c>
      <c r="Q42">
        <f t="shared" si="22"/>
        <v>4.3010255936431666E-2</v>
      </c>
      <c r="R42">
        <f t="shared" si="23"/>
        <v>0.92763097108010695</v>
      </c>
      <c r="S42">
        <f t="shared" si="23"/>
        <v>6.0293587729834606</v>
      </c>
      <c r="T42">
        <f t="shared" si="24"/>
        <v>3.7624216162163299E-2</v>
      </c>
      <c r="U42">
        <f t="shared" si="24"/>
        <v>0.87016937147142759</v>
      </c>
      <c r="V42">
        <f t="shared" si="24"/>
        <v>6.0922064123664086</v>
      </c>
      <c r="W42">
        <f t="shared" si="25"/>
        <v>2.417091365684319E-2</v>
      </c>
      <c r="X42">
        <f t="shared" si="25"/>
        <v>0.81857965876357208</v>
      </c>
      <c r="Y42">
        <f t="shared" si="25"/>
        <v>6.1572494275795853</v>
      </c>
      <c r="Z42">
        <f t="shared" si="26"/>
        <v>3.4023113187867673E-2</v>
      </c>
      <c r="AA42">
        <f t="shared" si="26"/>
        <v>0.78764237139638693</v>
      </c>
      <c r="AB42">
        <f t="shared" si="26"/>
        <v>6.1783345154157452</v>
      </c>
      <c r="AC42">
        <f t="shared" si="27"/>
        <v>5.3564940962761126E-2</v>
      </c>
      <c r="AD42">
        <f t="shared" si="27"/>
        <v>0.91346503178928251</v>
      </c>
      <c r="AE42">
        <f t="shared" si="27"/>
        <v>6.0329700272479565</v>
      </c>
      <c r="AF42">
        <f t="shared" si="28"/>
        <v>0.38094798115125189</v>
      </c>
      <c r="AG42">
        <f t="shared" si="28"/>
        <v>8.2161600295666624</v>
      </c>
      <c r="AH42">
        <f t="shared" si="28"/>
        <v>53.402891989282082</v>
      </c>
      <c r="AI42">
        <f t="shared" si="29"/>
        <v>0.3332430574363035</v>
      </c>
      <c r="AJ42">
        <f t="shared" si="29"/>
        <v>7.7072144330326449</v>
      </c>
      <c r="AK42">
        <f t="shared" si="29"/>
        <v>53.959542509531047</v>
      </c>
      <c r="AL42">
        <f t="shared" si="30"/>
        <v>0.21408523524632542</v>
      </c>
      <c r="AM42">
        <f t="shared" si="30"/>
        <v>7.2502769776202101</v>
      </c>
      <c r="AN42">
        <f t="shared" si="30"/>
        <v>54.535637787133467</v>
      </c>
      <c r="AO42">
        <f t="shared" si="31"/>
        <v>0.30134757394968509</v>
      </c>
      <c r="AP42">
        <f t="shared" si="31"/>
        <v>6.9762610037965693</v>
      </c>
      <c r="AQ42">
        <f t="shared" si="31"/>
        <v>54.722391422253743</v>
      </c>
      <c r="AR42">
        <f t="shared" si="32"/>
        <v>0.47443233424159859</v>
      </c>
      <c r="AS42">
        <f t="shared" si="32"/>
        <v>8.0906902815622157</v>
      </c>
      <c r="AT42">
        <f t="shared" si="32"/>
        <v>53.434877384196184</v>
      </c>
      <c r="AU42">
        <f t="shared" si="33"/>
        <v>3.8094798115125186E-2</v>
      </c>
      <c r="AV42">
        <f t="shared" si="33"/>
        <v>0.82161600295666626</v>
      </c>
      <c r="AW42">
        <f t="shared" si="33"/>
        <v>5.3402891989282084</v>
      </c>
      <c r="AX42">
        <f t="shared" si="34"/>
        <v>3.332430574363035E-2</v>
      </c>
      <c r="AY42">
        <f t="shared" si="34"/>
        <v>0.77072144330326453</v>
      </c>
      <c r="AZ42">
        <f t="shared" si="34"/>
        <v>5.3959542509531051</v>
      </c>
      <c r="BA42">
        <f t="shared" si="35"/>
        <v>2.1408523524632541E-2</v>
      </c>
      <c r="BB42">
        <f t="shared" si="35"/>
        <v>0.72502769776202103</v>
      </c>
      <c r="BC42">
        <f t="shared" si="35"/>
        <v>5.4535637787133471</v>
      </c>
      <c r="BD42">
        <f t="shared" si="36"/>
        <v>3.0134757394968511E-2</v>
      </c>
      <c r="BE42">
        <f t="shared" si="36"/>
        <v>0.697626100379657</v>
      </c>
      <c r="BF42">
        <f t="shared" si="36"/>
        <v>5.4722391422253747</v>
      </c>
      <c r="BG42">
        <f t="shared" si="37"/>
        <v>4.7443233424159854E-2</v>
      </c>
      <c r="BH42">
        <f t="shared" si="37"/>
        <v>0.80906902815622161</v>
      </c>
      <c r="BI42">
        <f t="shared" si="37"/>
        <v>5.3434877384196184</v>
      </c>
      <c r="BJ42">
        <f t="shared" si="38"/>
        <v>17.204102374572667</v>
      </c>
      <c r="BK42">
        <f t="shared" si="50"/>
        <v>371.05238843204279</v>
      </c>
      <c r="BL42">
        <f t="shared" si="39"/>
        <v>2411.7435091933844</v>
      </c>
      <c r="BM42">
        <f t="shared" si="40"/>
        <v>15.049686464865319</v>
      </c>
      <c r="BN42">
        <f t="shared" si="40"/>
        <v>348.06774858857108</v>
      </c>
      <c r="BO42">
        <f t="shared" si="40"/>
        <v>2436.8825649465634</v>
      </c>
      <c r="BP42">
        <f t="shared" si="41"/>
        <v>9.6683654627372757</v>
      </c>
      <c r="BQ42">
        <f t="shared" si="41"/>
        <v>327.43186350542885</v>
      </c>
      <c r="BR42">
        <f t="shared" si="41"/>
        <v>2462.899771031834</v>
      </c>
      <c r="BS42">
        <f t="shared" si="42"/>
        <v>13.609245275147069</v>
      </c>
      <c r="BT42">
        <f t="shared" si="42"/>
        <v>315.05694855855478</v>
      </c>
      <c r="BU42">
        <f t="shared" si="42"/>
        <v>2471.333806166298</v>
      </c>
      <c r="BV42">
        <f t="shared" si="43"/>
        <v>21.425976385104452</v>
      </c>
      <c r="BW42">
        <f t="shared" si="43"/>
        <v>365.38601271571298</v>
      </c>
      <c r="BX42">
        <f t="shared" si="43"/>
        <v>2413.1880108991827</v>
      </c>
    </row>
    <row r="43" spans="1:76" x14ac:dyDescent="0.35">
      <c r="A43">
        <v>2064</v>
      </c>
      <c r="B43" s="5">
        <f t="shared" si="57"/>
        <v>53.599999999999994</v>
      </c>
      <c r="C43" s="5">
        <f t="shared" si="57"/>
        <v>1135.1999999999998</v>
      </c>
      <c r="D43" s="5">
        <f t="shared" si="57"/>
        <v>7454.4000000000015</v>
      </c>
      <c r="E43" s="5">
        <f t="shared" si="57"/>
        <v>51.800000000000011</v>
      </c>
      <c r="F43" s="5">
        <f t="shared" si="58"/>
        <v>1182.1999999999998</v>
      </c>
      <c r="G43" s="5">
        <f t="shared" si="58"/>
        <v>8376.5999999999985</v>
      </c>
      <c r="H43" s="5">
        <f t="shared" si="58"/>
        <v>37.199999999999989</v>
      </c>
      <c r="I43" s="5">
        <f t="shared" si="58"/>
        <v>1258.8000000000002</v>
      </c>
      <c r="J43" s="5">
        <f t="shared" si="58"/>
        <v>9592.5999999999985</v>
      </c>
      <c r="K43" s="5">
        <f t="shared" si="58"/>
        <v>46.800000000000011</v>
      </c>
      <c r="L43" s="5">
        <f t="shared" si="58"/>
        <v>1064.3999999999996</v>
      </c>
      <c r="M43" s="5">
        <f t="shared" si="58"/>
        <v>8489.5999999999985</v>
      </c>
      <c r="N43" s="5">
        <f t="shared" si="58"/>
        <v>68.199999999999989</v>
      </c>
      <c r="O43" s="5">
        <f t="shared" si="58"/>
        <v>1137.1999999999998</v>
      </c>
      <c r="P43" s="5">
        <f t="shared" si="58"/>
        <v>7592.5999999999985</v>
      </c>
      <c r="Q43">
        <f t="shared" si="22"/>
        <v>4.3409848204368745E-2</v>
      </c>
      <c r="R43">
        <f t="shared" si="23"/>
        <v>0.91938171047760064</v>
      </c>
      <c r="S43">
        <f t="shared" si="23"/>
        <v>6.0372084413180307</v>
      </c>
      <c r="T43">
        <f t="shared" si="24"/>
        <v>3.7729174037000823E-2</v>
      </c>
      <c r="U43">
        <f t="shared" si="24"/>
        <v>0.86107006846606871</v>
      </c>
      <c r="V43">
        <f t="shared" si="24"/>
        <v>6.1012007574969296</v>
      </c>
      <c r="W43">
        <f t="shared" si="25"/>
        <v>2.3914920191760183E-2</v>
      </c>
      <c r="X43">
        <f t="shared" si="25"/>
        <v>0.80925004132762735</v>
      </c>
      <c r="Y43">
        <f t="shared" si="25"/>
        <v>6.1668350384806132</v>
      </c>
      <c r="Z43">
        <f t="shared" si="26"/>
        <v>3.4122156486959439E-2</v>
      </c>
      <c r="AA43">
        <f t="shared" si="26"/>
        <v>0.77606032830597449</v>
      </c>
      <c r="AB43">
        <f t="shared" si="26"/>
        <v>6.1898175152070669</v>
      </c>
      <c r="AC43">
        <f t="shared" si="27"/>
        <v>5.4262332348260972E-2</v>
      </c>
      <c r="AD43">
        <f t="shared" si="27"/>
        <v>0.9047965446692432</v>
      </c>
      <c r="AE43">
        <f t="shared" si="27"/>
        <v>6.0409411229824954</v>
      </c>
      <c r="AF43">
        <f t="shared" si="28"/>
        <v>0.38448722695298032</v>
      </c>
      <c r="AG43">
        <f t="shared" si="28"/>
        <v>8.1430951499444628</v>
      </c>
      <c r="AH43">
        <f t="shared" si="28"/>
        <v>53.472417623102558</v>
      </c>
      <c r="AI43">
        <f t="shared" si="29"/>
        <v>0.33417268432772157</v>
      </c>
      <c r="AJ43">
        <f t="shared" si="29"/>
        <v>7.6266206064137512</v>
      </c>
      <c r="AK43">
        <f t="shared" si="29"/>
        <v>54.039206709258522</v>
      </c>
      <c r="AL43">
        <f t="shared" si="30"/>
        <v>0.21181786455559021</v>
      </c>
      <c r="AM43">
        <f t="shared" si="30"/>
        <v>7.1676432231875564</v>
      </c>
      <c r="AN43">
        <f t="shared" si="30"/>
        <v>54.620538912256855</v>
      </c>
      <c r="AO43">
        <f t="shared" si="31"/>
        <v>0.30222481459878359</v>
      </c>
      <c r="AP43">
        <f t="shared" si="31"/>
        <v>6.8736771935672021</v>
      </c>
      <c r="AQ43">
        <f t="shared" si="31"/>
        <v>54.824097991834023</v>
      </c>
      <c r="AR43">
        <f t="shared" si="32"/>
        <v>0.48060922937031147</v>
      </c>
      <c r="AS43">
        <f t="shared" si="32"/>
        <v>8.0139122527847242</v>
      </c>
      <c r="AT43">
        <f t="shared" si="32"/>
        <v>53.505478517844963</v>
      </c>
      <c r="AU43">
        <f t="shared" si="33"/>
        <v>3.8448722695298032E-2</v>
      </c>
      <c r="AV43">
        <f t="shared" si="33"/>
        <v>0.81430951499444637</v>
      </c>
      <c r="AW43">
        <f t="shared" si="33"/>
        <v>5.3472417623102562</v>
      </c>
      <c r="AX43">
        <f t="shared" si="34"/>
        <v>3.3417268432772158E-2</v>
      </c>
      <c r="AY43">
        <f t="shared" si="34"/>
        <v>0.76266206064137521</v>
      </c>
      <c r="AZ43">
        <f t="shared" si="34"/>
        <v>5.403920670925852</v>
      </c>
      <c r="BA43">
        <f t="shared" si="35"/>
        <v>2.1181786455559022E-2</v>
      </c>
      <c r="BB43">
        <f t="shared" si="35"/>
        <v>0.71676432231875564</v>
      </c>
      <c r="BC43">
        <f t="shared" si="35"/>
        <v>5.4620538912256862</v>
      </c>
      <c r="BD43">
        <f t="shared" si="36"/>
        <v>3.022248145987836E-2</v>
      </c>
      <c r="BE43">
        <f t="shared" si="36"/>
        <v>0.68736771935672025</v>
      </c>
      <c r="BF43">
        <f t="shared" si="36"/>
        <v>5.4824097991834027</v>
      </c>
      <c r="BG43">
        <f t="shared" si="37"/>
        <v>4.8060922937031146E-2</v>
      </c>
      <c r="BH43">
        <f t="shared" si="37"/>
        <v>0.80139122527847251</v>
      </c>
      <c r="BI43">
        <f t="shared" si="37"/>
        <v>5.350547851784496</v>
      </c>
      <c r="BJ43">
        <f t="shared" si="38"/>
        <v>17.363939281747498</v>
      </c>
      <c r="BK43">
        <f t="shared" si="50"/>
        <v>367.75268419104026</v>
      </c>
      <c r="BL43">
        <f t="shared" si="39"/>
        <v>2414.8833765272125</v>
      </c>
      <c r="BM43">
        <f t="shared" si="40"/>
        <v>15.091669614800329</v>
      </c>
      <c r="BN43">
        <f t="shared" si="40"/>
        <v>344.42802738642746</v>
      </c>
      <c r="BO43">
        <f t="shared" si="40"/>
        <v>2440.480302998772</v>
      </c>
      <c r="BP43">
        <f t="shared" si="41"/>
        <v>9.565968076704074</v>
      </c>
      <c r="BQ43">
        <f t="shared" si="41"/>
        <v>323.70001653105095</v>
      </c>
      <c r="BR43">
        <f t="shared" si="41"/>
        <v>2466.7340153922451</v>
      </c>
      <c r="BS43">
        <f t="shared" si="42"/>
        <v>13.648862594783775</v>
      </c>
      <c r="BT43">
        <f t="shared" si="42"/>
        <v>310.42413132238977</v>
      </c>
      <c r="BU43">
        <f t="shared" si="42"/>
        <v>2475.9270060828267</v>
      </c>
      <c r="BV43">
        <f t="shared" si="43"/>
        <v>21.704932939304388</v>
      </c>
      <c r="BW43">
        <f t="shared" si="43"/>
        <v>361.91861786769726</v>
      </c>
      <c r="BX43">
        <f t="shared" si="43"/>
        <v>2416.3764491929983</v>
      </c>
    </row>
    <row r="44" spans="1:76" x14ac:dyDescent="0.35">
      <c r="A44">
        <v>2065</v>
      </c>
      <c r="B44" s="5">
        <v>54</v>
      </c>
      <c r="C44" s="5">
        <v>1123</v>
      </c>
      <c r="D44" s="5">
        <v>7451</v>
      </c>
      <c r="E44" s="5">
        <v>52</v>
      </c>
      <c r="F44" s="5">
        <v>1171</v>
      </c>
      <c r="G44" s="5">
        <v>8398</v>
      </c>
      <c r="H44" s="5">
        <v>37</v>
      </c>
      <c r="I44" s="5">
        <v>1251</v>
      </c>
      <c r="J44" s="5">
        <v>9658</v>
      </c>
      <c r="K44" s="5">
        <v>47</v>
      </c>
      <c r="L44" s="5">
        <v>1050</v>
      </c>
      <c r="M44" s="5">
        <v>8517</v>
      </c>
      <c r="N44" s="5">
        <v>69</v>
      </c>
      <c r="O44" s="5">
        <v>1125</v>
      </c>
      <c r="P44" s="5">
        <v>7594</v>
      </c>
      <c r="Q44">
        <f t="shared" si="22"/>
        <v>4.3810848400556324E-2</v>
      </c>
      <c r="R44">
        <f t="shared" si="23"/>
        <v>0.91110338433008808</v>
      </c>
      <c r="S44">
        <f t="shared" si="23"/>
        <v>6.0450857672693559</v>
      </c>
      <c r="T44">
        <f t="shared" si="24"/>
        <v>3.7833904999480299E-2</v>
      </c>
      <c r="U44">
        <f t="shared" si="24"/>
        <v>0.8519904375844507</v>
      </c>
      <c r="V44">
        <f t="shared" si="24"/>
        <v>6.1101756574160691</v>
      </c>
      <c r="W44">
        <f t="shared" si="25"/>
        <v>2.3661611547597296E-2</v>
      </c>
      <c r="X44">
        <f t="shared" si="25"/>
        <v>0.8000182715147085</v>
      </c>
      <c r="Y44">
        <f t="shared" si="25"/>
        <v>6.1763201169376938</v>
      </c>
      <c r="Z44">
        <f t="shared" si="26"/>
        <v>3.4220927813605154E-2</v>
      </c>
      <c r="AA44">
        <f t="shared" si="26"/>
        <v>0.76451008945288124</v>
      </c>
      <c r="AB44">
        <f t="shared" si="26"/>
        <v>6.2012689827335139</v>
      </c>
      <c r="AC44">
        <f t="shared" si="27"/>
        <v>5.4961310878470636E-2</v>
      </c>
      <c r="AD44">
        <f t="shared" si="27"/>
        <v>0.89610832954028219</v>
      </c>
      <c r="AE44">
        <f t="shared" si="27"/>
        <v>6.0489303595812469</v>
      </c>
      <c r="AF44">
        <f t="shared" si="28"/>
        <v>0.38803894297635605</v>
      </c>
      <c r="AG44">
        <f t="shared" si="28"/>
        <v>8.0697728326379234</v>
      </c>
      <c r="AH44">
        <f t="shared" si="28"/>
        <v>53.542188224385718</v>
      </c>
      <c r="AI44">
        <f t="shared" si="29"/>
        <v>0.33510030142396841</v>
      </c>
      <c r="AJ44">
        <f t="shared" si="29"/>
        <v>7.5462010186051343</v>
      </c>
      <c r="AK44">
        <f t="shared" si="29"/>
        <v>54.118698679970898</v>
      </c>
      <c r="AL44">
        <f t="shared" si="30"/>
        <v>0.20957427370729034</v>
      </c>
      <c r="AM44">
        <f t="shared" si="30"/>
        <v>7.0858761191302753</v>
      </c>
      <c r="AN44">
        <f t="shared" si="30"/>
        <v>54.704549607162434</v>
      </c>
      <c r="AO44">
        <f t="shared" si="31"/>
        <v>0.30309964634907427</v>
      </c>
      <c r="AP44">
        <f t="shared" si="31"/>
        <v>6.7713750780112338</v>
      </c>
      <c r="AQ44">
        <f t="shared" si="31"/>
        <v>54.925525275639693</v>
      </c>
      <c r="AR44">
        <f t="shared" si="32"/>
        <v>0.4868001820664542</v>
      </c>
      <c r="AS44">
        <f t="shared" si="32"/>
        <v>7.936959490213928</v>
      </c>
      <c r="AT44">
        <f t="shared" si="32"/>
        <v>53.576240327719617</v>
      </c>
      <c r="AU44">
        <f t="shared" si="33"/>
        <v>3.8803894297635602E-2</v>
      </c>
      <c r="AV44">
        <f t="shared" si="33"/>
        <v>0.80697728326379237</v>
      </c>
      <c r="AW44">
        <f t="shared" si="33"/>
        <v>5.3542188224385727</v>
      </c>
      <c r="AX44">
        <f t="shared" si="34"/>
        <v>3.3510030142396841E-2</v>
      </c>
      <c r="AY44">
        <f t="shared" si="34"/>
        <v>0.75462010186051343</v>
      </c>
      <c r="AZ44">
        <f t="shared" si="34"/>
        <v>5.4118698679970896</v>
      </c>
      <c r="BA44">
        <f t="shared" si="35"/>
        <v>2.0957427370729035E-2</v>
      </c>
      <c r="BB44">
        <f t="shared" si="35"/>
        <v>0.70858761191302755</v>
      </c>
      <c r="BC44">
        <f t="shared" si="35"/>
        <v>5.4704549607162436</v>
      </c>
      <c r="BD44">
        <f t="shared" si="36"/>
        <v>3.0309964634907427E-2</v>
      </c>
      <c r="BE44">
        <f t="shared" si="36"/>
        <v>0.67713750780112336</v>
      </c>
      <c r="BF44">
        <f t="shared" si="36"/>
        <v>5.4925525275639693</v>
      </c>
      <c r="BG44">
        <f t="shared" si="37"/>
        <v>4.8680018206645422E-2</v>
      </c>
      <c r="BH44">
        <f t="shared" si="37"/>
        <v>0.79369594902139284</v>
      </c>
      <c r="BI44">
        <f t="shared" si="37"/>
        <v>5.3576240327719615</v>
      </c>
      <c r="BJ44">
        <f t="shared" si="38"/>
        <v>17.52433936022253</v>
      </c>
      <c r="BK44">
        <f t="shared" si="50"/>
        <v>364.44135373203522</v>
      </c>
      <c r="BL44">
        <f t="shared" si="39"/>
        <v>2418.0343069077421</v>
      </c>
      <c r="BM44">
        <f t="shared" si="40"/>
        <v>15.133561999792121</v>
      </c>
      <c r="BN44">
        <f t="shared" si="40"/>
        <v>340.79617503378029</v>
      </c>
      <c r="BO44">
        <f t="shared" si="40"/>
        <v>2444.0702629664274</v>
      </c>
      <c r="BP44">
        <f t="shared" si="41"/>
        <v>9.4646446190389195</v>
      </c>
      <c r="BQ44">
        <f t="shared" si="41"/>
        <v>320.0073086058834</v>
      </c>
      <c r="BR44">
        <f t="shared" si="41"/>
        <v>2470.5280467750777</v>
      </c>
      <c r="BS44">
        <f t="shared" si="42"/>
        <v>13.688371125442062</v>
      </c>
      <c r="BT44">
        <f t="shared" si="42"/>
        <v>305.80403578115249</v>
      </c>
      <c r="BU44">
        <f t="shared" si="42"/>
        <v>2480.5075930934054</v>
      </c>
      <c r="BV44">
        <f t="shared" si="43"/>
        <v>21.984524351388256</v>
      </c>
      <c r="BW44">
        <f t="shared" si="43"/>
        <v>358.44333181611285</v>
      </c>
      <c r="BX44">
        <f t="shared" si="43"/>
        <v>2419.572143832499</v>
      </c>
    </row>
    <row r="45" spans="1:76" x14ac:dyDescent="0.35">
      <c r="A45">
        <v>2066</v>
      </c>
      <c r="B45" s="5">
        <f t="shared" ref="B45:E48" si="59">B44+((B$49-B$44)/5)</f>
        <v>54.2</v>
      </c>
      <c r="C45" s="5">
        <f t="shared" si="59"/>
        <v>1111.2</v>
      </c>
      <c r="D45" s="5">
        <f t="shared" si="59"/>
        <v>7440.2</v>
      </c>
      <c r="E45" s="5">
        <f>E44+((E$49-E$44)/5)</f>
        <v>52.2</v>
      </c>
      <c r="F45" s="5">
        <f t="shared" ref="F45:P48" si="60">F44+((F$49-F$44)/5)</f>
        <v>1160</v>
      </c>
      <c r="G45" s="5">
        <f t="shared" si="60"/>
        <v>8412.7999999999993</v>
      </c>
      <c r="H45" s="5">
        <f t="shared" si="60"/>
        <v>36.799999999999997</v>
      </c>
      <c r="I45" s="5">
        <f t="shared" si="60"/>
        <v>1243.5999999999999</v>
      </c>
      <c r="J45" s="5">
        <f t="shared" si="60"/>
        <v>9719.4</v>
      </c>
      <c r="K45" s="5">
        <f t="shared" si="60"/>
        <v>47</v>
      </c>
      <c r="L45" s="5">
        <f t="shared" si="60"/>
        <v>1035.8</v>
      </c>
      <c r="M45" s="5">
        <f t="shared" si="60"/>
        <v>8539.7999999999993</v>
      </c>
      <c r="N45" s="5">
        <f t="shared" si="60"/>
        <v>69.599999999999994</v>
      </c>
      <c r="O45" s="5">
        <f t="shared" si="60"/>
        <v>1112.5999999999999</v>
      </c>
      <c r="P45" s="5">
        <f t="shared" si="60"/>
        <v>7589</v>
      </c>
      <c r="Q45">
        <f t="shared" si="22"/>
        <v>4.4087570884075486E-2</v>
      </c>
      <c r="R45">
        <f t="shared" si="23"/>
        <v>0.90387654550525243</v>
      </c>
      <c r="S45">
        <f t="shared" si="23"/>
        <v>6.0520358836106718</v>
      </c>
      <c r="T45">
        <f t="shared" si="24"/>
        <v>3.7963636363636366E-2</v>
      </c>
      <c r="U45">
        <f t="shared" si="24"/>
        <v>0.84363636363636374</v>
      </c>
      <c r="V45">
        <f t="shared" si="24"/>
        <v>6.1183999999999994</v>
      </c>
      <c r="W45">
        <f t="shared" si="25"/>
        <v>2.3418607611047474E-2</v>
      </c>
      <c r="X45">
        <f t="shared" si="25"/>
        <v>0.79139620720376735</v>
      </c>
      <c r="Y45">
        <f t="shared" si="25"/>
        <v>6.1851851851851851</v>
      </c>
      <c r="Z45">
        <f t="shared" si="26"/>
        <v>3.4190343566187935E-2</v>
      </c>
      <c r="AA45">
        <f t="shared" si="26"/>
        <v>0.75349697586930775</v>
      </c>
      <c r="AB45">
        <f t="shared" si="26"/>
        <v>6.212312680564505</v>
      </c>
      <c r="AC45">
        <f t="shared" si="27"/>
        <v>5.5545421379058726E-2</v>
      </c>
      <c r="AD45">
        <f t="shared" si="27"/>
        <v>0.88792867566581513</v>
      </c>
      <c r="AE45">
        <f t="shared" si="27"/>
        <v>6.0565259029551255</v>
      </c>
      <c r="AF45">
        <f t="shared" si="28"/>
        <v>0.39048991354466861</v>
      </c>
      <c r="AG45">
        <f t="shared" si="28"/>
        <v>8.0057636887608066</v>
      </c>
      <c r="AH45">
        <f t="shared" si="28"/>
        <v>53.603746397694522</v>
      </c>
      <c r="AI45">
        <f t="shared" si="29"/>
        <v>0.33624935064935063</v>
      </c>
      <c r="AJ45">
        <f t="shared" si="29"/>
        <v>7.4722077922077927</v>
      </c>
      <c r="AK45">
        <f t="shared" si="29"/>
        <v>54.191542857142849</v>
      </c>
      <c r="AL45">
        <f t="shared" si="30"/>
        <v>0.20742195312642048</v>
      </c>
      <c r="AM45">
        <f t="shared" si="30"/>
        <v>7.0095092638047971</v>
      </c>
      <c r="AN45">
        <f t="shared" si="30"/>
        <v>54.783068783068785</v>
      </c>
      <c r="AO45">
        <f t="shared" si="31"/>
        <v>0.30282875730052172</v>
      </c>
      <c r="AP45">
        <f t="shared" si="31"/>
        <v>6.6738303576995834</v>
      </c>
      <c r="AQ45">
        <f t="shared" si="31"/>
        <v>55.023340884999897</v>
      </c>
      <c r="AR45">
        <f t="shared" si="32"/>
        <v>0.49197373221452012</v>
      </c>
      <c r="AS45">
        <f t="shared" si="32"/>
        <v>7.8645111273257919</v>
      </c>
      <c r="AT45">
        <f t="shared" si="32"/>
        <v>53.643515140459684</v>
      </c>
      <c r="AU45">
        <f t="shared" si="33"/>
        <v>3.9048991354466864E-2</v>
      </c>
      <c r="AV45">
        <f t="shared" si="33"/>
        <v>0.80057636887608075</v>
      </c>
      <c r="AW45">
        <f t="shared" si="33"/>
        <v>5.3603746397694518</v>
      </c>
      <c r="AX45">
        <f t="shared" si="34"/>
        <v>3.3624935064935066E-2</v>
      </c>
      <c r="AY45">
        <f t="shared" si="34"/>
        <v>0.74722077922077923</v>
      </c>
      <c r="AZ45">
        <f t="shared" si="34"/>
        <v>5.4191542857142849</v>
      </c>
      <c r="BA45">
        <f t="shared" si="35"/>
        <v>2.0742195312642049E-2</v>
      </c>
      <c r="BB45">
        <f t="shared" si="35"/>
        <v>0.70095092638047973</v>
      </c>
      <c r="BC45">
        <f t="shared" si="35"/>
        <v>5.4783068783068787</v>
      </c>
      <c r="BD45">
        <f t="shared" si="36"/>
        <v>3.0282875730052172E-2</v>
      </c>
      <c r="BE45">
        <f t="shared" si="36"/>
        <v>0.66738303576995839</v>
      </c>
      <c r="BF45">
        <f t="shared" si="36"/>
        <v>5.5023340884999898</v>
      </c>
      <c r="BG45">
        <f t="shared" si="37"/>
        <v>4.9197373221452019E-2</v>
      </c>
      <c r="BH45">
        <f t="shared" si="37"/>
        <v>0.78645111273257917</v>
      </c>
      <c r="BI45">
        <f t="shared" si="37"/>
        <v>5.3643515140459685</v>
      </c>
      <c r="BJ45">
        <f t="shared" si="38"/>
        <v>17.635028353630194</v>
      </c>
      <c r="BK45">
        <f t="shared" si="50"/>
        <v>361.55061820210096</v>
      </c>
      <c r="BL45">
        <f t="shared" si="39"/>
        <v>2420.8143534442688</v>
      </c>
      <c r="BM45">
        <f t="shared" si="40"/>
        <v>15.185454545454546</v>
      </c>
      <c r="BN45">
        <f t="shared" si="40"/>
        <v>337.4545454545455</v>
      </c>
      <c r="BO45">
        <f t="shared" si="40"/>
        <v>2447.3599999999997</v>
      </c>
      <c r="BP45">
        <f t="shared" si="41"/>
        <v>9.3674430444189891</v>
      </c>
      <c r="BQ45">
        <f t="shared" si="41"/>
        <v>316.55848288150696</v>
      </c>
      <c r="BR45">
        <f t="shared" si="41"/>
        <v>2474.0740740740739</v>
      </c>
      <c r="BS45">
        <f t="shared" si="42"/>
        <v>13.676137426475174</v>
      </c>
      <c r="BT45">
        <f t="shared" si="42"/>
        <v>301.39879034772309</v>
      </c>
      <c r="BU45">
        <f t="shared" si="42"/>
        <v>2484.9250722258021</v>
      </c>
      <c r="BV45">
        <f t="shared" si="43"/>
        <v>22.218168551623492</v>
      </c>
      <c r="BW45">
        <f t="shared" si="43"/>
        <v>355.17147026632608</v>
      </c>
      <c r="BX45">
        <f t="shared" si="43"/>
        <v>2422.6103611820504</v>
      </c>
    </row>
    <row r="46" spans="1:76" x14ac:dyDescent="0.35">
      <c r="A46">
        <v>2067</v>
      </c>
      <c r="B46" s="5">
        <f t="shared" si="59"/>
        <v>54.400000000000006</v>
      </c>
      <c r="C46" s="5">
        <f t="shared" si="59"/>
        <v>1099.4000000000001</v>
      </c>
      <c r="D46" s="5">
        <f t="shared" si="59"/>
        <v>7429.4</v>
      </c>
      <c r="E46" s="5">
        <f t="shared" si="59"/>
        <v>52.400000000000006</v>
      </c>
      <c r="F46" s="5">
        <f t="shared" si="60"/>
        <v>1149</v>
      </c>
      <c r="G46" s="5">
        <f t="shared" si="60"/>
        <v>8427.5999999999985</v>
      </c>
      <c r="H46" s="5">
        <f t="shared" si="60"/>
        <v>36.599999999999994</v>
      </c>
      <c r="I46" s="5">
        <f t="shared" si="60"/>
        <v>1236.1999999999998</v>
      </c>
      <c r="J46" s="5">
        <f t="shared" si="60"/>
        <v>9780.7999999999993</v>
      </c>
      <c r="K46" s="5">
        <f t="shared" si="60"/>
        <v>47</v>
      </c>
      <c r="L46" s="5">
        <f t="shared" si="60"/>
        <v>1021.5999999999999</v>
      </c>
      <c r="M46" s="5">
        <f t="shared" si="60"/>
        <v>8562.5999999999985</v>
      </c>
      <c r="N46" s="5">
        <f t="shared" si="60"/>
        <v>70.199999999999989</v>
      </c>
      <c r="O46" s="5">
        <f t="shared" si="60"/>
        <v>1100.1999999999998</v>
      </c>
      <c r="P46" s="5">
        <f t="shared" si="60"/>
        <v>7584</v>
      </c>
      <c r="Q46">
        <f t="shared" si="22"/>
        <v>4.4365737720197598E-2</v>
      </c>
      <c r="R46">
        <f t="shared" si="23"/>
        <v>0.896611986205611</v>
      </c>
      <c r="S46">
        <f t="shared" si="23"/>
        <v>6.0590222760741907</v>
      </c>
      <c r="T46">
        <f t="shared" si="24"/>
        <v>3.8093259943919426E-2</v>
      </c>
      <c r="U46">
        <f t="shared" si="24"/>
        <v>0.8352892304496834</v>
      </c>
      <c r="V46">
        <f t="shared" si="24"/>
        <v>6.1266175096063975</v>
      </c>
      <c r="W46">
        <f t="shared" si="25"/>
        <v>2.3177969168415719E-2</v>
      </c>
      <c r="X46">
        <f t="shared" si="25"/>
        <v>0.78285807338785551</v>
      </c>
      <c r="Y46">
        <f t="shared" si="25"/>
        <v>6.1939639574437289</v>
      </c>
      <c r="Z46">
        <f t="shared" si="26"/>
        <v>3.4159813938034723E-2</v>
      </c>
      <c r="AA46">
        <f t="shared" si="26"/>
        <v>0.74250353019353765</v>
      </c>
      <c r="AB46">
        <f t="shared" si="26"/>
        <v>6.2233366558684278</v>
      </c>
      <c r="AC46">
        <f t="shared" si="27"/>
        <v>5.6131773736635283E-2</v>
      </c>
      <c r="AD46">
        <f t="shared" si="27"/>
        <v>0.87971762770720996</v>
      </c>
      <c r="AE46">
        <f t="shared" si="27"/>
        <v>6.0641505985561546</v>
      </c>
      <c r="AF46">
        <f t="shared" si="28"/>
        <v>0.39295367695032157</v>
      </c>
      <c r="AG46">
        <f t="shared" si="28"/>
        <v>7.9414204492496978</v>
      </c>
      <c r="AH46">
        <f t="shared" si="28"/>
        <v>53.665625873799975</v>
      </c>
      <c r="AI46">
        <f t="shared" si="29"/>
        <v>0.33739744521757203</v>
      </c>
      <c r="AJ46">
        <f t="shared" si="29"/>
        <v>7.3982760411257678</v>
      </c>
      <c r="AK46">
        <f t="shared" si="29"/>
        <v>54.264326513656663</v>
      </c>
      <c r="AL46">
        <f t="shared" si="30"/>
        <v>0.20529058406311065</v>
      </c>
      <c r="AM46">
        <f t="shared" si="30"/>
        <v>6.9338857928638635</v>
      </c>
      <c r="AN46">
        <f t="shared" si="30"/>
        <v>54.860823623073031</v>
      </c>
      <c r="AO46">
        <f t="shared" si="31"/>
        <v>0.30255835202259329</v>
      </c>
      <c r="AP46">
        <f t="shared" si="31"/>
        <v>6.5764598388570477</v>
      </c>
      <c r="AQ46">
        <f t="shared" si="31"/>
        <v>55.120981809120359</v>
      </c>
      <c r="AR46">
        <f t="shared" si="32"/>
        <v>0.49716713881019825</v>
      </c>
      <c r="AS46">
        <f t="shared" si="32"/>
        <v>7.7917847025495739</v>
      </c>
      <c r="AT46">
        <f t="shared" si="32"/>
        <v>53.711048158640224</v>
      </c>
      <c r="AU46">
        <f t="shared" si="33"/>
        <v>3.9295367695032161E-2</v>
      </c>
      <c r="AV46">
        <f t="shared" si="33"/>
        <v>0.79414204492496987</v>
      </c>
      <c r="AW46">
        <f t="shared" si="33"/>
        <v>5.366562587379998</v>
      </c>
      <c r="AX46">
        <f t="shared" si="34"/>
        <v>3.3739744521757202E-2</v>
      </c>
      <c r="AY46">
        <f t="shared" si="34"/>
        <v>0.73982760411257675</v>
      </c>
      <c r="AZ46">
        <f t="shared" si="34"/>
        <v>5.4264326513656664</v>
      </c>
      <c r="BA46">
        <f t="shared" si="35"/>
        <v>2.0529058406311064E-2</v>
      </c>
      <c r="BB46">
        <f t="shared" si="35"/>
        <v>0.69338857928638631</v>
      </c>
      <c r="BC46">
        <f t="shared" si="35"/>
        <v>5.486082362307303</v>
      </c>
      <c r="BD46">
        <f t="shared" si="36"/>
        <v>3.0255835202259329E-2</v>
      </c>
      <c r="BE46">
        <f t="shared" si="36"/>
        <v>0.65764598388570483</v>
      </c>
      <c r="BF46">
        <f t="shared" si="36"/>
        <v>5.5120981809120364</v>
      </c>
      <c r="BG46">
        <f t="shared" si="37"/>
        <v>4.9716713881019822E-2</v>
      </c>
      <c r="BH46">
        <f t="shared" si="37"/>
        <v>0.77917847025495746</v>
      </c>
      <c r="BI46">
        <f t="shared" si="37"/>
        <v>5.3711048158640224</v>
      </c>
      <c r="BJ46">
        <f t="shared" si="38"/>
        <v>17.746295088079037</v>
      </c>
      <c r="BK46">
        <f t="shared" si="50"/>
        <v>358.64479448224444</v>
      </c>
      <c r="BL46">
        <f t="shared" si="39"/>
        <v>2423.6089104296766</v>
      </c>
      <c r="BM46">
        <f t="shared" si="40"/>
        <v>15.23730397756777</v>
      </c>
      <c r="BN46">
        <f t="shared" si="40"/>
        <v>334.11569217987335</v>
      </c>
      <c r="BO46">
        <f t="shared" si="40"/>
        <v>2450.6470038425591</v>
      </c>
      <c r="BP46">
        <f t="shared" si="41"/>
        <v>9.2711876673662879</v>
      </c>
      <c r="BQ46">
        <f t="shared" si="41"/>
        <v>313.14322935514224</v>
      </c>
      <c r="BR46">
        <f t="shared" si="41"/>
        <v>2477.5855829774914</v>
      </c>
      <c r="BS46">
        <f t="shared" si="42"/>
        <v>13.66392557521389</v>
      </c>
      <c r="BT46">
        <f t="shared" si="42"/>
        <v>297.00141207741507</v>
      </c>
      <c r="BU46">
        <f t="shared" si="42"/>
        <v>2489.3346623473708</v>
      </c>
      <c r="BV46">
        <f t="shared" si="43"/>
        <v>22.452709494654115</v>
      </c>
      <c r="BW46">
        <f t="shared" si="43"/>
        <v>351.887051082884</v>
      </c>
      <c r="BX46">
        <f t="shared" si="43"/>
        <v>2425.6602394224619</v>
      </c>
    </row>
    <row r="47" spans="1:76" x14ac:dyDescent="0.35">
      <c r="A47">
        <v>2068</v>
      </c>
      <c r="B47" s="5">
        <f t="shared" si="59"/>
        <v>54.600000000000009</v>
      </c>
      <c r="C47" s="5">
        <f t="shared" si="59"/>
        <v>1087.6000000000001</v>
      </c>
      <c r="D47" s="5">
        <f t="shared" si="59"/>
        <v>7418.5999999999995</v>
      </c>
      <c r="E47" s="5">
        <f t="shared" si="59"/>
        <v>52.600000000000009</v>
      </c>
      <c r="F47" s="5">
        <f t="shared" si="60"/>
        <v>1138</v>
      </c>
      <c r="G47" s="5">
        <f t="shared" si="60"/>
        <v>8442.3999999999978</v>
      </c>
      <c r="H47" s="5">
        <f t="shared" si="60"/>
        <v>36.399999999999991</v>
      </c>
      <c r="I47" s="5">
        <f t="shared" si="60"/>
        <v>1228.7999999999997</v>
      </c>
      <c r="J47" s="5">
        <f t="shared" si="60"/>
        <v>9842.1999999999989</v>
      </c>
      <c r="K47" s="5">
        <f t="shared" si="60"/>
        <v>47</v>
      </c>
      <c r="L47" s="5">
        <f t="shared" si="60"/>
        <v>1007.3999999999999</v>
      </c>
      <c r="M47" s="5">
        <f t="shared" si="60"/>
        <v>8585.3999999999978</v>
      </c>
      <c r="N47" s="5">
        <f t="shared" si="60"/>
        <v>70.799999999999983</v>
      </c>
      <c r="O47" s="5">
        <f t="shared" si="60"/>
        <v>1087.7999999999997</v>
      </c>
      <c r="P47" s="5">
        <f t="shared" si="60"/>
        <v>7579</v>
      </c>
      <c r="Q47">
        <f t="shared" si="22"/>
        <v>4.4645360246705922E-2</v>
      </c>
      <c r="R47">
        <f t="shared" si="23"/>
        <v>0.88930941033548294</v>
      </c>
      <c r="S47">
        <f t="shared" si="23"/>
        <v>6.0660452294178109</v>
      </c>
      <c r="T47">
        <f t="shared" si="24"/>
        <v>3.8222775874597749E-2</v>
      </c>
      <c r="U47">
        <f t="shared" si="24"/>
        <v>0.82694902937817938</v>
      </c>
      <c r="V47">
        <f t="shared" si="24"/>
        <v>6.1348281947472225</v>
      </c>
      <c r="W47">
        <f t="shared" si="25"/>
        <v>2.2939661847056914E-2</v>
      </c>
      <c r="X47">
        <f t="shared" si="25"/>
        <v>0.77440265048526202</v>
      </c>
      <c r="Y47">
        <f t="shared" si="25"/>
        <v>6.2026576876676813</v>
      </c>
      <c r="Z47">
        <f t="shared" si="26"/>
        <v>3.4129338782962308E-2</v>
      </c>
      <c r="AA47">
        <f t="shared" si="26"/>
        <v>0.73152969978630278</v>
      </c>
      <c r="AB47">
        <f t="shared" si="26"/>
        <v>6.2343409614307355</v>
      </c>
      <c r="AC47">
        <f t="shared" si="27"/>
        <v>5.6720380882622219E-2</v>
      </c>
      <c r="AD47">
        <f t="shared" si="27"/>
        <v>0.87147500457791582</v>
      </c>
      <c r="AE47">
        <f t="shared" si="27"/>
        <v>6.0718046145394613</v>
      </c>
      <c r="AF47">
        <f t="shared" si="28"/>
        <v>0.39543033361368102</v>
      </c>
      <c r="AG47">
        <f t="shared" si="28"/>
        <v>7.8767404915428489</v>
      </c>
      <c r="AH47">
        <f t="shared" si="28"/>
        <v>53.727829174843471</v>
      </c>
      <c r="AI47">
        <f t="shared" si="29"/>
        <v>0.33854458631786577</v>
      </c>
      <c r="AJ47">
        <f t="shared" si="29"/>
        <v>7.3244056887781603</v>
      </c>
      <c r="AK47">
        <f t="shared" si="29"/>
        <v>54.33704972490397</v>
      </c>
      <c r="AL47">
        <f t="shared" si="30"/>
        <v>0.20317986207393268</v>
      </c>
      <c r="AM47">
        <f t="shared" si="30"/>
        <v>6.8589949042980356</v>
      </c>
      <c r="AN47">
        <f t="shared" si="30"/>
        <v>54.93782523362804</v>
      </c>
      <c r="AO47">
        <f t="shared" si="31"/>
        <v>0.30228842922052335</v>
      </c>
      <c r="AP47">
        <f t="shared" si="31"/>
        <v>6.4792630552501098</v>
      </c>
      <c r="AQ47">
        <f t="shared" si="31"/>
        <v>55.218448515529367</v>
      </c>
      <c r="AR47">
        <f t="shared" si="32"/>
        <v>0.50238051638893966</v>
      </c>
      <c r="AS47">
        <f t="shared" si="32"/>
        <v>7.7187786119758259</v>
      </c>
      <c r="AT47">
        <f t="shared" si="32"/>
        <v>53.778840871635225</v>
      </c>
      <c r="AU47">
        <f t="shared" si="33"/>
        <v>3.9543033361368107E-2</v>
      </c>
      <c r="AV47">
        <f t="shared" si="33"/>
        <v>0.78767404915428485</v>
      </c>
      <c r="AW47">
        <f t="shared" si="33"/>
        <v>5.3727829174843471</v>
      </c>
      <c r="AX47">
        <f t="shared" si="34"/>
        <v>3.3854458631786578E-2</v>
      </c>
      <c r="AY47">
        <f t="shared" si="34"/>
        <v>0.73244056887781606</v>
      </c>
      <c r="AZ47">
        <f t="shared" si="34"/>
        <v>5.4337049724903972</v>
      </c>
      <c r="BA47">
        <f t="shared" si="35"/>
        <v>2.0317986207393269E-2</v>
      </c>
      <c r="BB47">
        <f t="shared" si="35"/>
        <v>0.68589949042980358</v>
      </c>
      <c r="BC47">
        <f t="shared" si="35"/>
        <v>5.4937825233628041</v>
      </c>
      <c r="BD47">
        <f t="shared" si="36"/>
        <v>3.0228842922052333E-2</v>
      </c>
      <c r="BE47">
        <f t="shared" si="36"/>
        <v>0.64792630552501096</v>
      </c>
      <c r="BF47">
        <f t="shared" si="36"/>
        <v>5.5218448515529373</v>
      </c>
      <c r="BG47">
        <f t="shared" si="37"/>
        <v>5.0238051638893964E-2</v>
      </c>
      <c r="BH47">
        <f t="shared" si="37"/>
        <v>0.77187786119758262</v>
      </c>
      <c r="BI47">
        <f t="shared" si="37"/>
        <v>5.3778840871635234</v>
      </c>
      <c r="BJ47">
        <f t="shared" si="38"/>
        <v>17.85814409868237</v>
      </c>
      <c r="BK47">
        <f t="shared" si="50"/>
        <v>355.72376413419317</v>
      </c>
      <c r="BL47">
        <f t="shared" si="39"/>
        <v>2426.4180917671242</v>
      </c>
      <c r="BM47">
        <f t="shared" si="40"/>
        <v>15.289110349839099</v>
      </c>
      <c r="BN47">
        <f t="shared" si="40"/>
        <v>330.77961175127177</v>
      </c>
      <c r="BO47">
        <f t="shared" si="40"/>
        <v>2453.9312778988888</v>
      </c>
      <c r="BP47">
        <f t="shared" si="41"/>
        <v>9.1758647388227654</v>
      </c>
      <c r="BQ47">
        <f t="shared" si="41"/>
        <v>309.7610601941048</v>
      </c>
      <c r="BR47">
        <f t="shared" si="41"/>
        <v>2481.0630750670725</v>
      </c>
      <c r="BS47">
        <f t="shared" si="42"/>
        <v>13.651735513184924</v>
      </c>
      <c r="BT47">
        <f t="shared" si="42"/>
        <v>292.61187991452107</v>
      </c>
      <c r="BU47">
        <f t="shared" si="42"/>
        <v>2493.7363845722939</v>
      </c>
      <c r="BV47">
        <f t="shared" si="43"/>
        <v>22.688152353048888</v>
      </c>
      <c r="BW47">
        <f t="shared" si="43"/>
        <v>348.59000183116632</v>
      </c>
      <c r="BX47">
        <f t="shared" si="43"/>
        <v>2428.7218458157845</v>
      </c>
    </row>
    <row r="48" spans="1:76" x14ac:dyDescent="0.35">
      <c r="A48">
        <v>2069</v>
      </c>
      <c r="B48" s="5">
        <f t="shared" si="59"/>
        <v>54.800000000000011</v>
      </c>
      <c r="C48" s="5">
        <f t="shared" si="59"/>
        <v>1075.8000000000002</v>
      </c>
      <c r="D48" s="5">
        <f t="shared" si="59"/>
        <v>7407.7999999999993</v>
      </c>
      <c r="E48" s="5">
        <f t="shared" si="59"/>
        <v>52.800000000000011</v>
      </c>
      <c r="F48" s="5">
        <f t="shared" si="60"/>
        <v>1127</v>
      </c>
      <c r="G48" s="5">
        <f t="shared" si="60"/>
        <v>8457.1999999999971</v>
      </c>
      <c r="H48" s="5">
        <f t="shared" si="60"/>
        <v>36.199999999999989</v>
      </c>
      <c r="I48" s="5">
        <f t="shared" si="60"/>
        <v>1221.3999999999996</v>
      </c>
      <c r="J48" s="5">
        <f t="shared" si="60"/>
        <v>9903.5999999999985</v>
      </c>
      <c r="K48" s="5">
        <f t="shared" si="60"/>
        <v>47</v>
      </c>
      <c r="L48" s="5">
        <f t="shared" si="60"/>
        <v>993.19999999999982</v>
      </c>
      <c r="M48" s="5">
        <f t="shared" si="60"/>
        <v>8608.1999999999971</v>
      </c>
      <c r="N48" s="5">
        <f t="shared" si="60"/>
        <v>71.399999999999977</v>
      </c>
      <c r="O48" s="5">
        <f t="shared" si="60"/>
        <v>1075.3999999999996</v>
      </c>
      <c r="P48" s="5">
        <f t="shared" si="60"/>
        <v>7574</v>
      </c>
      <c r="Q48">
        <f t="shared" si="22"/>
        <v>4.4926449920359796E-2</v>
      </c>
      <c r="R48">
        <f t="shared" si="23"/>
        <v>0.88196851869202686</v>
      </c>
      <c r="S48">
        <f t="shared" si="23"/>
        <v>6.0731050313876134</v>
      </c>
      <c r="T48">
        <f t="shared" si="24"/>
        <v>3.8352184289716741E-2</v>
      </c>
      <c r="U48">
        <f t="shared" si="24"/>
        <v>0.81861575178997636</v>
      </c>
      <c r="V48">
        <f t="shared" si="24"/>
        <v>6.1430320639203071</v>
      </c>
      <c r="W48">
        <f t="shared" si="25"/>
        <v>2.2703651937067693E-2</v>
      </c>
      <c r="X48">
        <f t="shared" si="25"/>
        <v>0.76602874242912933</v>
      </c>
      <c r="Y48">
        <f t="shared" si="25"/>
        <v>6.2112676056338021</v>
      </c>
      <c r="Z48">
        <f t="shared" si="26"/>
        <v>3.4098917955308658E-2</v>
      </c>
      <c r="AA48">
        <f t="shared" si="26"/>
        <v>0.72057543219601183</v>
      </c>
      <c r="AB48">
        <f t="shared" si="26"/>
        <v>6.2453256498486791</v>
      </c>
      <c r="AC48">
        <f t="shared" si="27"/>
        <v>5.7311255848087314E-2</v>
      </c>
      <c r="AD48">
        <f t="shared" si="27"/>
        <v>0.86320062379598173</v>
      </c>
      <c r="AE48">
        <f t="shared" si="27"/>
        <v>6.079488120355931</v>
      </c>
      <c r="AF48">
        <f t="shared" si="28"/>
        <v>0.39791998500890108</v>
      </c>
      <c r="AG48">
        <f t="shared" si="28"/>
        <v>7.8117211655579526</v>
      </c>
      <c r="AH48">
        <f t="shared" si="28"/>
        <v>53.790358849433147</v>
      </c>
      <c r="AI48">
        <f t="shared" si="29"/>
        <v>0.33969077513749113</v>
      </c>
      <c r="AJ48">
        <f t="shared" si="29"/>
        <v>7.2505966587112196</v>
      </c>
      <c r="AK48">
        <f t="shared" si="29"/>
        <v>54.409712566151292</v>
      </c>
      <c r="AL48">
        <f t="shared" si="30"/>
        <v>0.20108948858545672</v>
      </c>
      <c r="AM48">
        <f t="shared" si="30"/>
        <v>6.7848260043722881</v>
      </c>
      <c r="AN48">
        <f t="shared" si="30"/>
        <v>55.014084507042249</v>
      </c>
      <c r="AO48">
        <f t="shared" si="31"/>
        <v>0.3020189876041624</v>
      </c>
      <c r="AP48">
        <f t="shared" si="31"/>
        <v>6.3822395423075333</v>
      </c>
      <c r="AQ48">
        <f t="shared" si="31"/>
        <v>55.315741470088298</v>
      </c>
      <c r="AR48">
        <f t="shared" si="32"/>
        <v>0.50761398036877337</v>
      </c>
      <c r="AS48">
        <f t="shared" si="32"/>
        <v>7.645491239335839</v>
      </c>
      <c r="AT48">
        <f t="shared" si="32"/>
        <v>53.846894780295386</v>
      </c>
      <c r="AU48">
        <f t="shared" si="33"/>
        <v>3.9791998500890109E-2</v>
      </c>
      <c r="AV48">
        <f t="shared" si="33"/>
        <v>0.78117211655579522</v>
      </c>
      <c r="AW48">
        <f t="shared" si="33"/>
        <v>5.3790358849433151</v>
      </c>
      <c r="AX48">
        <f t="shared" si="34"/>
        <v>3.3969077513749113E-2</v>
      </c>
      <c r="AY48">
        <f t="shared" si="34"/>
        <v>0.72505966587112203</v>
      </c>
      <c r="AZ48">
        <f t="shared" si="34"/>
        <v>5.4409712566151294</v>
      </c>
      <c r="BA48">
        <f t="shared" si="35"/>
        <v>2.0108948858545674E-2</v>
      </c>
      <c r="BB48">
        <f t="shared" si="35"/>
        <v>0.67848260043722886</v>
      </c>
      <c r="BC48">
        <f t="shared" si="35"/>
        <v>5.5014084507042247</v>
      </c>
      <c r="BD48">
        <f t="shared" si="36"/>
        <v>3.0201898760416242E-2</v>
      </c>
      <c r="BE48">
        <f t="shared" si="36"/>
        <v>0.63822395423075329</v>
      </c>
      <c r="BF48">
        <f t="shared" si="36"/>
        <v>5.53157414700883</v>
      </c>
      <c r="BG48">
        <f t="shared" si="37"/>
        <v>5.0761398036877341E-2</v>
      </c>
      <c r="BH48">
        <f t="shared" si="37"/>
        <v>0.76454912393358387</v>
      </c>
      <c r="BI48">
        <f t="shared" si="37"/>
        <v>5.3846894780295393</v>
      </c>
      <c r="BJ48">
        <f t="shared" si="38"/>
        <v>17.97057996814392</v>
      </c>
      <c r="BK48">
        <f t="shared" si="50"/>
        <v>352.78740747681076</v>
      </c>
      <c r="BL48">
        <f t="shared" si="39"/>
        <v>2429.2420125550452</v>
      </c>
      <c r="BM48">
        <f t="shared" si="40"/>
        <v>15.340873715886696</v>
      </c>
      <c r="BN48">
        <f t="shared" si="40"/>
        <v>327.44630071599056</v>
      </c>
      <c r="BO48">
        <f t="shared" si="40"/>
        <v>2457.2128255681228</v>
      </c>
      <c r="BP48">
        <f t="shared" si="41"/>
        <v>9.081460774827077</v>
      </c>
      <c r="BQ48">
        <f t="shared" si="41"/>
        <v>306.41149697165173</v>
      </c>
      <c r="BR48">
        <f t="shared" si="41"/>
        <v>2484.5070422535209</v>
      </c>
      <c r="BS48">
        <f t="shared" si="42"/>
        <v>13.639567182123464</v>
      </c>
      <c r="BT48">
        <f t="shared" si="42"/>
        <v>288.23017287840474</v>
      </c>
      <c r="BU48">
        <f t="shared" si="42"/>
        <v>2498.1302599394717</v>
      </c>
      <c r="BV48">
        <f t="shared" si="43"/>
        <v>22.924502339234927</v>
      </c>
      <c r="BW48">
        <f t="shared" si="43"/>
        <v>345.28024951839274</v>
      </c>
      <c r="BX48">
        <f t="shared" si="43"/>
        <v>2431.7952481423722</v>
      </c>
    </row>
    <row r="49" spans="1:76" x14ac:dyDescent="0.35">
      <c r="A49">
        <v>2070</v>
      </c>
      <c r="B49" s="5">
        <v>55</v>
      </c>
      <c r="C49" s="5">
        <v>1064</v>
      </c>
      <c r="D49" s="5">
        <v>7397</v>
      </c>
      <c r="E49" s="5">
        <v>53</v>
      </c>
      <c r="F49" s="5">
        <v>1116</v>
      </c>
      <c r="G49" s="5">
        <v>8472</v>
      </c>
      <c r="H49" s="5">
        <v>36</v>
      </c>
      <c r="I49" s="5">
        <v>1214</v>
      </c>
      <c r="J49" s="5">
        <v>9965</v>
      </c>
      <c r="K49" s="5">
        <v>47</v>
      </c>
      <c r="L49" s="5">
        <v>979</v>
      </c>
      <c r="M49" s="5">
        <v>8631</v>
      </c>
      <c r="N49" s="5">
        <v>72</v>
      </c>
      <c r="O49" s="5">
        <v>1063</v>
      </c>
      <c r="P49" s="5">
        <v>7569</v>
      </c>
      <c r="Q49">
        <f t="shared" si="22"/>
        <v>4.5209018318459374E-2</v>
      </c>
      <c r="R49">
        <f t="shared" si="23"/>
        <v>0.87458900892437763</v>
      </c>
      <c r="S49">
        <f t="shared" si="23"/>
        <v>6.0802019727571626</v>
      </c>
      <c r="T49">
        <f t="shared" si="24"/>
        <v>3.8481485323099265E-2</v>
      </c>
      <c r="U49">
        <f t="shared" si="24"/>
        <v>0.81028938906752412</v>
      </c>
      <c r="V49">
        <f t="shared" si="24"/>
        <v>6.1512291256093761</v>
      </c>
      <c r="W49">
        <f t="shared" si="25"/>
        <v>2.2469906375390106E-2</v>
      </c>
      <c r="X49">
        <f t="shared" si="25"/>
        <v>0.75773517610343288</v>
      </c>
      <c r="Y49">
        <f t="shared" si="25"/>
        <v>6.2197949175211775</v>
      </c>
      <c r="Z49">
        <f t="shared" si="26"/>
        <v>3.4068551309930625E-2</v>
      </c>
      <c r="AA49">
        <f t="shared" si="26"/>
        <v>0.70964067515791651</v>
      </c>
      <c r="AB49">
        <f t="shared" si="26"/>
        <v>6.2562907735321529</v>
      </c>
      <c r="AC49">
        <f t="shared" si="27"/>
        <v>5.7904411764705885E-2</v>
      </c>
      <c r="AD49">
        <f t="shared" si="27"/>
        <v>0.85489430147058831</v>
      </c>
      <c r="AE49">
        <f t="shared" si="27"/>
        <v>6.0872012867647065</v>
      </c>
      <c r="AF49">
        <f t="shared" si="28"/>
        <v>0.40042273367778297</v>
      </c>
      <c r="AG49">
        <f t="shared" si="28"/>
        <v>7.7463597933302024</v>
      </c>
      <c r="AH49">
        <f t="shared" si="28"/>
        <v>53.853217472992014</v>
      </c>
      <c r="AI49">
        <f t="shared" si="29"/>
        <v>0.34083601286173637</v>
      </c>
      <c r="AJ49">
        <f t="shared" si="29"/>
        <v>7.1768488745980701</v>
      </c>
      <c r="AK49">
        <f t="shared" si="29"/>
        <v>54.482315112540192</v>
      </c>
      <c r="AL49">
        <f t="shared" si="30"/>
        <v>0.19901917075345521</v>
      </c>
      <c r="AM49">
        <f t="shared" si="30"/>
        <v>6.7113687026304056</v>
      </c>
      <c r="AN49">
        <f t="shared" si="30"/>
        <v>55.089612126616139</v>
      </c>
      <c r="AO49">
        <f t="shared" si="31"/>
        <v>0.30175002588795696</v>
      </c>
      <c r="AP49">
        <f t="shared" si="31"/>
        <v>6.2853888371129747</v>
      </c>
      <c r="AQ49">
        <f t="shared" si="31"/>
        <v>55.412861136999069</v>
      </c>
      <c r="AR49">
        <f t="shared" si="32"/>
        <v>0.51286764705882348</v>
      </c>
      <c r="AS49">
        <f t="shared" si="32"/>
        <v>7.5719209558823533</v>
      </c>
      <c r="AT49">
        <f t="shared" si="32"/>
        <v>53.915211397058826</v>
      </c>
      <c r="AU49">
        <f t="shared" si="33"/>
        <v>4.0042273367778297E-2</v>
      </c>
      <c r="AV49">
        <f t="shared" si="33"/>
        <v>0.7746359793330202</v>
      </c>
      <c r="AW49">
        <f t="shared" si="33"/>
        <v>5.3853217472992014</v>
      </c>
      <c r="AX49">
        <f t="shared" si="34"/>
        <v>3.4083601286173638E-2</v>
      </c>
      <c r="AY49">
        <f t="shared" si="34"/>
        <v>0.71768488745980707</v>
      </c>
      <c r="AZ49">
        <f t="shared" si="34"/>
        <v>5.4482315112540194</v>
      </c>
      <c r="BA49">
        <f t="shared" si="35"/>
        <v>1.990191707534552E-2</v>
      </c>
      <c r="BB49">
        <f t="shared" si="35"/>
        <v>0.67113687026304059</v>
      </c>
      <c r="BC49">
        <f t="shared" si="35"/>
        <v>5.5089612126616148</v>
      </c>
      <c r="BD49">
        <f t="shared" si="36"/>
        <v>3.0175002588795696E-2</v>
      </c>
      <c r="BE49">
        <f t="shared" si="36"/>
        <v>0.62853888371129751</v>
      </c>
      <c r="BF49">
        <f t="shared" si="36"/>
        <v>5.5412861136999068</v>
      </c>
      <c r="BG49">
        <f t="shared" si="37"/>
        <v>5.1286764705882358E-2</v>
      </c>
      <c r="BH49">
        <f t="shared" si="37"/>
        <v>0.7571920955882353</v>
      </c>
      <c r="BI49">
        <f t="shared" si="37"/>
        <v>5.3915211397058824</v>
      </c>
      <c r="BJ49">
        <f t="shared" si="38"/>
        <v>18.083607327383749</v>
      </c>
      <c r="BK49">
        <f t="shared" si="50"/>
        <v>349.83560356975107</v>
      </c>
      <c r="BL49">
        <f t="shared" si="39"/>
        <v>2432.0807891028653</v>
      </c>
      <c r="BM49">
        <f t="shared" si="40"/>
        <v>15.392594129239706</v>
      </c>
      <c r="BN49">
        <f t="shared" si="40"/>
        <v>324.11575562700961</v>
      </c>
      <c r="BO49">
        <f t="shared" si="40"/>
        <v>2460.4916502437504</v>
      </c>
      <c r="BP49">
        <f t="shared" si="41"/>
        <v>8.9879625501560412</v>
      </c>
      <c r="BQ49">
        <f t="shared" si="41"/>
        <v>303.09407044137316</v>
      </c>
      <c r="BR49">
        <f t="shared" si="41"/>
        <v>2487.9179670084709</v>
      </c>
      <c r="BS49">
        <f t="shared" si="42"/>
        <v>13.627420523972249</v>
      </c>
      <c r="BT49">
        <f t="shared" si="42"/>
        <v>283.85627006316662</v>
      </c>
      <c r="BU49">
        <f t="shared" si="42"/>
        <v>2502.5163094128611</v>
      </c>
      <c r="BV49">
        <f t="shared" si="43"/>
        <v>23.161764705882351</v>
      </c>
      <c r="BW49">
        <f t="shared" si="43"/>
        <v>341.9577205882353</v>
      </c>
      <c r="BX49">
        <f t="shared" si="43"/>
        <v>2434.8805147058824</v>
      </c>
    </row>
    <row r="50" spans="1:76" x14ac:dyDescent="0.35">
      <c r="A50">
        <v>2071</v>
      </c>
      <c r="B50" s="5">
        <f t="shared" ref="B50:E53" si="61">B49+((B$54-B$49)/5)</f>
        <v>55.2</v>
      </c>
      <c r="C50" s="5">
        <f t="shared" si="61"/>
        <v>1050.8</v>
      </c>
      <c r="D50" s="5">
        <f t="shared" si="61"/>
        <v>7378</v>
      </c>
      <c r="E50" s="5">
        <f>E49+((E$54-E$49)/5)</f>
        <v>53.2</v>
      </c>
      <c r="F50" s="5">
        <f t="shared" ref="F50:P53" si="62">F49+((F$54-F$49)/5)</f>
        <v>1105</v>
      </c>
      <c r="G50" s="5">
        <f t="shared" si="62"/>
        <v>8480.7999999999993</v>
      </c>
      <c r="H50" s="5">
        <f t="shared" si="62"/>
        <v>35.799999999999997</v>
      </c>
      <c r="I50" s="5">
        <f t="shared" si="62"/>
        <v>1207.2</v>
      </c>
      <c r="J50" s="5">
        <f t="shared" si="62"/>
        <v>10025.799999999999</v>
      </c>
      <c r="K50" s="5">
        <f t="shared" si="62"/>
        <v>47</v>
      </c>
      <c r="L50" s="5">
        <f t="shared" si="62"/>
        <v>964.8</v>
      </c>
      <c r="M50" s="5">
        <f t="shared" si="62"/>
        <v>8647.4</v>
      </c>
      <c r="N50" s="5">
        <f t="shared" si="62"/>
        <v>72.599999999999994</v>
      </c>
      <c r="O50" s="5">
        <f t="shared" si="62"/>
        <v>1050.4000000000001</v>
      </c>
      <c r="P50" s="5">
        <f t="shared" si="62"/>
        <v>7557.2</v>
      </c>
      <c r="Q50">
        <f t="shared" si="22"/>
        <v>4.554455445544555E-2</v>
      </c>
      <c r="R50">
        <f t="shared" si="23"/>
        <v>0.86699669966996695</v>
      </c>
      <c r="S50">
        <f t="shared" si="23"/>
        <v>6.0874587458745877</v>
      </c>
      <c r="T50">
        <f t="shared" si="24"/>
        <v>3.8634713144517066E-2</v>
      </c>
      <c r="U50">
        <f t="shared" si="24"/>
        <v>0.80246913580246915</v>
      </c>
      <c r="V50">
        <f t="shared" si="24"/>
        <v>6.1588961510530131</v>
      </c>
      <c r="W50">
        <f t="shared" si="25"/>
        <v>2.2238392730370579E-2</v>
      </c>
      <c r="X50">
        <f t="shared" si="25"/>
        <v>0.74989351128780357</v>
      </c>
      <c r="Y50">
        <f t="shared" si="25"/>
        <v>6.227868095981826</v>
      </c>
      <c r="Z50">
        <f t="shared" si="26"/>
        <v>3.4060791783998678E-2</v>
      </c>
      <c r="AA50">
        <f t="shared" si="26"/>
        <v>0.69918833857876428</v>
      </c>
      <c r="AB50">
        <f t="shared" si="26"/>
        <v>6.2667508696372369</v>
      </c>
      <c r="AC50">
        <f t="shared" si="27"/>
        <v>5.854703808668002E-2</v>
      </c>
      <c r="AD50">
        <f t="shared" si="27"/>
        <v>0.84707725628441743</v>
      </c>
      <c r="AE50">
        <f t="shared" si="27"/>
        <v>6.0943757056289014</v>
      </c>
      <c r="AF50">
        <f t="shared" si="28"/>
        <v>0.40339462517680341</v>
      </c>
      <c r="AG50">
        <f t="shared" si="28"/>
        <v>7.679113625648279</v>
      </c>
      <c r="AH50">
        <f t="shared" si="28"/>
        <v>53.917491749174921</v>
      </c>
      <c r="AI50">
        <f t="shared" si="29"/>
        <v>0.3421931735657226</v>
      </c>
      <c r="AJ50">
        <f t="shared" si="29"/>
        <v>7.1075837742504406</v>
      </c>
      <c r="AK50">
        <f t="shared" si="29"/>
        <v>54.550223052183831</v>
      </c>
      <c r="AL50">
        <f t="shared" si="30"/>
        <v>0.19696862132613943</v>
      </c>
      <c r="AM50">
        <f t="shared" si="30"/>
        <v>6.6419139571205461</v>
      </c>
      <c r="AN50">
        <f t="shared" si="30"/>
        <v>55.161117421553321</v>
      </c>
      <c r="AO50">
        <f t="shared" si="31"/>
        <v>0.30168129865827398</v>
      </c>
      <c r="AP50">
        <f t="shared" si="31"/>
        <v>6.1928109988404838</v>
      </c>
      <c r="AQ50">
        <f t="shared" si="31"/>
        <v>55.505507702501248</v>
      </c>
      <c r="AR50">
        <f t="shared" si="32"/>
        <v>0.51855948019630871</v>
      </c>
      <c r="AS50">
        <f t="shared" si="32"/>
        <v>7.5026842699476965</v>
      </c>
      <c r="AT50">
        <f t="shared" si="32"/>
        <v>53.978756249855984</v>
      </c>
      <c r="AU50">
        <f t="shared" si="33"/>
        <v>4.0339462517680343E-2</v>
      </c>
      <c r="AV50">
        <f t="shared" si="33"/>
        <v>0.76791136256482795</v>
      </c>
      <c r="AW50">
        <f t="shared" si="33"/>
        <v>5.3917491749174919</v>
      </c>
      <c r="AX50">
        <f t="shared" si="34"/>
        <v>3.4219317356572264E-2</v>
      </c>
      <c r="AY50">
        <f t="shared" si="34"/>
        <v>0.71075837742504411</v>
      </c>
      <c r="AZ50">
        <f t="shared" si="34"/>
        <v>5.4550223052183835</v>
      </c>
      <c r="BA50">
        <f t="shared" si="35"/>
        <v>1.9696862132613943E-2</v>
      </c>
      <c r="BB50">
        <f t="shared" si="35"/>
        <v>0.66419139571205466</v>
      </c>
      <c r="BC50">
        <f t="shared" si="35"/>
        <v>5.5161117421553323</v>
      </c>
      <c r="BD50">
        <f t="shared" si="36"/>
        <v>3.0168129865827398E-2</v>
      </c>
      <c r="BE50">
        <f t="shared" si="36"/>
        <v>0.61928109988404845</v>
      </c>
      <c r="BF50">
        <f t="shared" si="36"/>
        <v>5.5505507702501244</v>
      </c>
      <c r="BG50">
        <f t="shared" si="37"/>
        <v>5.1855948019630872E-2</v>
      </c>
      <c r="BH50">
        <f t="shared" si="37"/>
        <v>0.7502684269947697</v>
      </c>
      <c r="BI50">
        <f t="shared" si="37"/>
        <v>5.3978756249855984</v>
      </c>
      <c r="BJ50">
        <f t="shared" si="38"/>
        <v>18.21782178217822</v>
      </c>
      <c r="BK50">
        <f t="shared" si="50"/>
        <v>346.79867986798678</v>
      </c>
      <c r="BL50">
        <f t="shared" si="39"/>
        <v>2434.9834983498349</v>
      </c>
      <c r="BM50">
        <f t="shared" si="40"/>
        <v>15.453885257806828</v>
      </c>
      <c r="BN50">
        <f t="shared" si="40"/>
        <v>320.98765432098764</v>
      </c>
      <c r="BO50">
        <f t="shared" si="40"/>
        <v>2463.5584604212054</v>
      </c>
      <c r="BP50">
        <f t="shared" si="41"/>
        <v>8.8953570921482328</v>
      </c>
      <c r="BQ50">
        <f t="shared" si="41"/>
        <v>299.95740451512142</v>
      </c>
      <c r="BR50">
        <f t="shared" si="41"/>
        <v>2491.1472383927303</v>
      </c>
      <c r="BS50">
        <f t="shared" si="42"/>
        <v>13.62431671359947</v>
      </c>
      <c r="BT50">
        <f t="shared" si="42"/>
        <v>279.67533543150574</v>
      </c>
      <c r="BU50">
        <f t="shared" si="42"/>
        <v>2506.700347854895</v>
      </c>
      <c r="BV50">
        <f t="shared" si="43"/>
        <v>23.418815234672007</v>
      </c>
      <c r="BW50">
        <f t="shared" si="43"/>
        <v>338.83090251376694</v>
      </c>
      <c r="BX50">
        <f t="shared" si="43"/>
        <v>2437.7502822515607</v>
      </c>
    </row>
    <row r="51" spans="1:76" x14ac:dyDescent="0.35">
      <c r="A51">
        <v>2072</v>
      </c>
      <c r="B51" s="5">
        <f t="shared" si="61"/>
        <v>55.400000000000006</v>
      </c>
      <c r="C51" s="5">
        <f t="shared" si="61"/>
        <v>1037.5999999999999</v>
      </c>
      <c r="D51" s="5">
        <f t="shared" si="61"/>
        <v>7359</v>
      </c>
      <c r="E51" s="5">
        <f t="shared" si="61"/>
        <v>53.400000000000006</v>
      </c>
      <c r="F51" s="5">
        <f t="shared" si="62"/>
        <v>1094</v>
      </c>
      <c r="G51" s="5">
        <f t="shared" si="62"/>
        <v>8489.5999999999985</v>
      </c>
      <c r="H51" s="5">
        <f t="shared" si="62"/>
        <v>35.599999999999994</v>
      </c>
      <c r="I51" s="5">
        <f t="shared" si="62"/>
        <v>1200.4000000000001</v>
      </c>
      <c r="J51" s="5">
        <f t="shared" si="62"/>
        <v>10086.599999999999</v>
      </c>
      <c r="K51" s="5">
        <f t="shared" si="62"/>
        <v>47</v>
      </c>
      <c r="L51" s="5">
        <f t="shared" si="62"/>
        <v>950.59999999999991</v>
      </c>
      <c r="M51" s="5">
        <f t="shared" si="62"/>
        <v>8663.7999999999993</v>
      </c>
      <c r="N51" s="5">
        <f t="shared" si="62"/>
        <v>73.199999999999989</v>
      </c>
      <c r="O51" s="5">
        <f t="shared" si="62"/>
        <v>1037.8000000000002</v>
      </c>
      <c r="P51" s="5">
        <f t="shared" si="62"/>
        <v>7545.4</v>
      </c>
      <c r="Q51">
        <f t="shared" si="22"/>
        <v>4.5882631329862755E-2</v>
      </c>
      <c r="R51">
        <f t="shared" si="23"/>
        <v>0.85934690014197812</v>
      </c>
      <c r="S51">
        <f t="shared" si="23"/>
        <v>6.094770468528159</v>
      </c>
      <c r="T51">
        <f t="shared" si="24"/>
        <v>3.8788004565736237E-2</v>
      </c>
      <c r="U51">
        <f t="shared" si="24"/>
        <v>0.79464563660890331</v>
      </c>
      <c r="V51">
        <f t="shared" si="24"/>
        <v>6.166566358825361</v>
      </c>
      <c r="W51">
        <f t="shared" si="25"/>
        <v>2.2009079186759224E-2</v>
      </c>
      <c r="X51">
        <f t="shared" si="25"/>
        <v>0.74212636673555554</v>
      </c>
      <c r="Y51">
        <f t="shared" si="25"/>
        <v>6.2358645540776854</v>
      </c>
      <c r="Z51">
        <f t="shared" si="26"/>
        <v>3.405303579191421E-2</v>
      </c>
      <c r="AA51">
        <f t="shared" si="26"/>
        <v>0.68874076220837555</v>
      </c>
      <c r="AB51">
        <f t="shared" si="26"/>
        <v>6.2772062019997099</v>
      </c>
      <c r="AC51">
        <f t="shared" si="27"/>
        <v>5.9193198096206268E-2</v>
      </c>
      <c r="AD51">
        <f t="shared" si="27"/>
        <v>0.83921722656069508</v>
      </c>
      <c r="AE51">
        <f t="shared" si="27"/>
        <v>6.1015895753430991</v>
      </c>
      <c r="AF51">
        <f t="shared" si="28"/>
        <v>0.40638902035021301</v>
      </c>
      <c r="AG51">
        <f t="shared" si="28"/>
        <v>7.6113582584003776</v>
      </c>
      <c r="AH51">
        <f t="shared" si="28"/>
        <v>53.982252721249409</v>
      </c>
      <c r="AI51">
        <f t="shared" si="29"/>
        <v>0.34355089758223523</v>
      </c>
      <c r="AJ51">
        <f t="shared" si="29"/>
        <v>7.0382899242502859</v>
      </c>
      <c r="AK51">
        <f t="shared" si="29"/>
        <v>54.618159178167481</v>
      </c>
      <c r="AL51">
        <f t="shared" si="30"/>
        <v>0.19493755851129599</v>
      </c>
      <c r="AM51">
        <f t="shared" si="30"/>
        <v>6.5731192482292062</v>
      </c>
      <c r="AN51">
        <f t="shared" si="30"/>
        <v>55.231943193259497</v>
      </c>
      <c r="AO51">
        <f t="shared" si="31"/>
        <v>0.30161260272838303</v>
      </c>
      <c r="AP51">
        <f t="shared" si="31"/>
        <v>6.1002753224170405</v>
      </c>
      <c r="AQ51">
        <f t="shared" si="31"/>
        <v>55.598112074854569</v>
      </c>
      <c r="AR51">
        <f t="shared" si="32"/>
        <v>0.5242826117092555</v>
      </c>
      <c r="AS51">
        <f t="shared" si="32"/>
        <v>7.4330668638232993</v>
      </c>
      <c r="AT51">
        <f t="shared" si="32"/>
        <v>54.042650524467447</v>
      </c>
      <c r="AU51">
        <f t="shared" si="33"/>
        <v>4.0638902035021303E-2</v>
      </c>
      <c r="AV51">
        <f t="shared" si="33"/>
        <v>0.76113582584003781</v>
      </c>
      <c r="AW51">
        <f t="shared" si="33"/>
        <v>5.3982252721249413</v>
      </c>
      <c r="AX51">
        <f t="shared" si="34"/>
        <v>3.4355089758223524E-2</v>
      </c>
      <c r="AY51">
        <f t="shared" si="34"/>
        <v>0.70382899242502861</v>
      </c>
      <c r="AZ51">
        <f t="shared" si="34"/>
        <v>5.4618159178167485</v>
      </c>
      <c r="BA51">
        <f t="shared" si="35"/>
        <v>1.9493755851129599E-2</v>
      </c>
      <c r="BB51">
        <f t="shared" si="35"/>
        <v>0.65731192482292067</v>
      </c>
      <c r="BC51">
        <f t="shared" si="35"/>
        <v>5.5231943193259498</v>
      </c>
      <c r="BD51">
        <f t="shared" si="36"/>
        <v>3.0161260272838303E-2</v>
      </c>
      <c r="BE51">
        <f t="shared" si="36"/>
        <v>0.61002753224170414</v>
      </c>
      <c r="BF51">
        <f t="shared" si="36"/>
        <v>5.5598112074854571</v>
      </c>
      <c r="BG51">
        <f t="shared" si="37"/>
        <v>5.2428261170925555E-2</v>
      </c>
      <c r="BH51">
        <f t="shared" si="37"/>
        <v>0.74330668638233</v>
      </c>
      <c r="BI51">
        <f t="shared" si="37"/>
        <v>5.4042650524467453</v>
      </c>
      <c r="BJ51">
        <f t="shared" si="38"/>
        <v>18.353052531945103</v>
      </c>
      <c r="BK51">
        <f t="shared" si="50"/>
        <v>343.73876005679125</v>
      </c>
      <c r="BL51">
        <f t="shared" si="39"/>
        <v>2437.9081874112635</v>
      </c>
      <c r="BM51">
        <f t="shared" si="40"/>
        <v>15.515201826294494</v>
      </c>
      <c r="BN51">
        <f t="shared" si="40"/>
        <v>317.85825464356134</v>
      </c>
      <c r="BO51">
        <f t="shared" si="40"/>
        <v>2466.6265435301443</v>
      </c>
      <c r="BP51">
        <f t="shared" si="41"/>
        <v>8.8036316747036896</v>
      </c>
      <c r="BQ51">
        <f t="shared" si="41"/>
        <v>296.8505466942222</v>
      </c>
      <c r="BR51">
        <f t="shared" si="41"/>
        <v>2494.3458216310742</v>
      </c>
      <c r="BS51">
        <f t="shared" si="42"/>
        <v>13.621214316765686</v>
      </c>
      <c r="BT51">
        <f t="shared" si="42"/>
        <v>275.49630488335021</v>
      </c>
      <c r="BU51">
        <f t="shared" si="42"/>
        <v>2510.882480799884</v>
      </c>
      <c r="BV51">
        <f t="shared" si="43"/>
        <v>23.677279238482509</v>
      </c>
      <c r="BW51">
        <f t="shared" si="43"/>
        <v>335.68689062427802</v>
      </c>
      <c r="BX51">
        <f t="shared" si="43"/>
        <v>2440.6358301372397</v>
      </c>
    </row>
    <row r="52" spans="1:76" x14ac:dyDescent="0.35">
      <c r="A52">
        <v>2073</v>
      </c>
      <c r="B52" s="5">
        <f t="shared" si="61"/>
        <v>55.600000000000009</v>
      </c>
      <c r="C52" s="5">
        <f t="shared" si="61"/>
        <v>1024.3999999999999</v>
      </c>
      <c r="D52" s="5">
        <f t="shared" si="61"/>
        <v>7340</v>
      </c>
      <c r="E52" s="5">
        <f t="shared" si="61"/>
        <v>53.600000000000009</v>
      </c>
      <c r="F52" s="5">
        <f t="shared" si="62"/>
        <v>1083</v>
      </c>
      <c r="G52" s="5">
        <f t="shared" si="62"/>
        <v>8498.3999999999978</v>
      </c>
      <c r="H52" s="5">
        <f t="shared" si="62"/>
        <v>35.399999999999991</v>
      </c>
      <c r="I52" s="5">
        <f t="shared" si="62"/>
        <v>1193.6000000000001</v>
      </c>
      <c r="J52" s="5">
        <f t="shared" si="62"/>
        <v>10147.399999999998</v>
      </c>
      <c r="K52" s="5">
        <f t="shared" si="62"/>
        <v>47</v>
      </c>
      <c r="L52" s="5">
        <f t="shared" si="62"/>
        <v>936.39999999999986</v>
      </c>
      <c r="M52" s="5">
        <f t="shared" si="62"/>
        <v>8680.1999999999989</v>
      </c>
      <c r="N52" s="5">
        <f t="shared" si="62"/>
        <v>73.799999999999983</v>
      </c>
      <c r="O52" s="5">
        <f t="shared" si="62"/>
        <v>1025.2000000000003</v>
      </c>
      <c r="P52" s="5">
        <f t="shared" si="62"/>
        <v>7533.5999999999995</v>
      </c>
      <c r="Q52">
        <f t="shared" si="22"/>
        <v>4.6223277909738729E-2</v>
      </c>
      <c r="R52">
        <f t="shared" si="23"/>
        <v>0.85163895486935859</v>
      </c>
      <c r="S52">
        <f t="shared" si="23"/>
        <v>6.1021377672209027</v>
      </c>
      <c r="T52">
        <f t="shared" si="24"/>
        <v>3.8941359626362235E-2</v>
      </c>
      <c r="U52">
        <f t="shared" si="24"/>
        <v>0.7868188894654905</v>
      </c>
      <c r="V52">
        <f t="shared" si="24"/>
        <v>6.1742397509081464</v>
      </c>
      <c r="W52">
        <f t="shared" si="25"/>
        <v>2.1781934531134629E-2</v>
      </c>
      <c r="X52">
        <f t="shared" si="25"/>
        <v>0.73443268520797456</v>
      </c>
      <c r="Y52">
        <f t="shared" si="25"/>
        <v>6.2437853802608911</v>
      </c>
      <c r="Z52">
        <f t="shared" si="26"/>
        <v>3.404528333126372E-2</v>
      </c>
      <c r="AA52">
        <f t="shared" si="26"/>
        <v>0.67829794279564559</v>
      </c>
      <c r="AB52">
        <f t="shared" si="26"/>
        <v>6.2876567738730911</v>
      </c>
      <c r="AC52">
        <f t="shared" si="27"/>
        <v>5.984292102031831E-2</v>
      </c>
      <c r="AD52">
        <f t="shared" si="27"/>
        <v>0.8313138567754792</v>
      </c>
      <c r="AE52">
        <f t="shared" si="27"/>
        <v>6.108843222204202</v>
      </c>
      <c r="AF52">
        <f t="shared" si="28"/>
        <v>0.40940617577197158</v>
      </c>
      <c r="AG52">
        <f t="shared" si="28"/>
        <v>7.5430878859857469</v>
      </c>
      <c r="AH52">
        <f t="shared" si="28"/>
        <v>54.047505938242281</v>
      </c>
      <c r="AI52">
        <f t="shared" si="29"/>
        <v>0.34490918526206549</v>
      </c>
      <c r="AJ52">
        <f t="shared" si="29"/>
        <v>6.9689673066943447</v>
      </c>
      <c r="AK52">
        <f t="shared" si="29"/>
        <v>54.686123508043586</v>
      </c>
      <c r="AL52">
        <f t="shared" si="30"/>
        <v>0.1929257058471924</v>
      </c>
      <c r="AM52">
        <f t="shared" si="30"/>
        <v>6.5049752118420612</v>
      </c>
      <c r="AN52">
        <f t="shared" si="30"/>
        <v>55.302099082310747</v>
      </c>
      <c r="AO52">
        <f t="shared" si="31"/>
        <v>0.30154393807690721</v>
      </c>
      <c r="AP52">
        <f t="shared" si="31"/>
        <v>6.0077817790471464</v>
      </c>
      <c r="AQ52">
        <f t="shared" si="31"/>
        <v>55.690674282875946</v>
      </c>
      <c r="AR52">
        <f t="shared" si="32"/>
        <v>0.53003730046567643</v>
      </c>
      <c r="AS52">
        <f t="shared" si="32"/>
        <v>7.3630655885828151</v>
      </c>
      <c r="AT52">
        <f t="shared" si="32"/>
        <v>54.1068971109515</v>
      </c>
      <c r="AU52">
        <f t="shared" si="33"/>
        <v>4.0940617577197157E-2</v>
      </c>
      <c r="AV52">
        <f t="shared" si="33"/>
        <v>0.75430878859857475</v>
      </c>
      <c r="AW52">
        <f t="shared" si="33"/>
        <v>5.404750593824228</v>
      </c>
      <c r="AX52">
        <f t="shared" si="34"/>
        <v>3.4490918526206553E-2</v>
      </c>
      <c r="AY52">
        <f t="shared" si="34"/>
        <v>0.69689673066943447</v>
      </c>
      <c r="AZ52">
        <f t="shared" si="34"/>
        <v>5.4686123508043583</v>
      </c>
      <c r="BA52">
        <f t="shared" si="35"/>
        <v>1.929257058471924E-2</v>
      </c>
      <c r="BB52">
        <f t="shared" si="35"/>
        <v>0.65049752118420612</v>
      </c>
      <c r="BC52">
        <f t="shared" si="35"/>
        <v>5.5302099082310754</v>
      </c>
      <c r="BD52">
        <f t="shared" si="36"/>
        <v>3.0154393807690721E-2</v>
      </c>
      <c r="BE52">
        <f t="shared" si="36"/>
        <v>0.60077817790471466</v>
      </c>
      <c r="BF52">
        <f t="shared" si="36"/>
        <v>5.5690674282875952</v>
      </c>
      <c r="BG52">
        <f t="shared" si="37"/>
        <v>5.3003730046567644E-2</v>
      </c>
      <c r="BH52">
        <f t="shared" si="37"/>
        <v>0.73630655885828156</v>
      </c>
      <c r="BI52">
        <f t="shared" si="37"/>
        <v>5.4106897110951504</v>
      </c>
      <c r="BJ52">
        <f t="shared" si="38"/>
        <v>18.48931116389549</v>
      </c>
      <c r="BK52">
        <f t="shared" si="50"/>
        <v>340.65558194774343</v>
      </c>
      <c r="BL52">
        <f t="shared" si="39"/>
        <v>2440.8551068883612</v>
      </c>
      <c r="BM52">
        <f t="shared" si="40"/>
        <v>15.576543850544894</v>
      </c>
      <c r="BN52">
        <f t="shared" si="40"/>
        <v>314.72755578619621</v>
      </c>
      <c r="BO52">
        <f t="shared" si="40"/>
        <v>2469.6959003632587</v>
      </c>
      <c r="BP52">
        <f t="shared" si="41"/>
        <v>8.7127738124538503</v>
      </c>
      <c r="BQ52">
        <f t="shared" si="41"/>
        <v>293.77307408318984</v>
      </c>
      <c r="BR52">
        <f t="shared" si="41"/>
        <v>2497.5141521043565</v>
      </c>
      <c r="BS52">
        <f t="shared" si="42"/>
        <v>13.618113332505487</v>
      </c>
      <c r="BT52">
        <f t="shared" si="42"/>
        <v>271.31917711825821</v>
      </c>
      <c r="BU52">
        <f t="shared" si="42"/>
        <v>2515.0627095492364</v>
      </c>
      <c r="BV52">
        <f t="shared" si="43"/>
        <v>23.937168408127324</v>
      </c>
      <c r="BW52">
        <f t="shared" si="43"/>
        <v>332.52554271019164</v>
      </c>
      <c r="BX52">
        <f t="shared" si="43"/>
        <v>2443.5372888816805</v>
      </c>
    </row>
    <row r="53" spans="1:76" x14ac:dyDescent="0.35">
      <c r="A53">
        <v>2074</v>
      </c>
      <c r="B53" s="5">
        <f t="shared" si="61"/>
        <v>55.800000000000011</v>
      </c>
      <c r="C53" s="5">
        <f t="shared" si="61"/>
        <v>1011.1999999999998</v>
      </c>
      <c r="D53" s="5">
        <f t="shared" si="61"/>
        <v>7321</v>
      </c>
      <c r="E53" s="5">
        <f t="shared" si="61"/>
        <v>53.800000000000011</v>
      </c>
      <c r="F53" s="5">
        <f t="shared" si="62"/>
        <v>1072</v>
      </c>
      <c r="G53" s="5">
        <f t="shared" si="62"/>
        <v>8507.1999999999971</v>
      </c>
      <c r="H53" s="5">
        <f t="shared" si="62"/>
        <v>35.199999999999989</v>
      </c>
      <c r="I53" s="5">
        <f t="shared" si="62"/>
        <v>1186.8000000000002</v>
      </c>
      <c r="J53" s="5">
        <f t="shared" si="62"/>
        <v>10208.199999999997</v>
      </c>
      <c r="K53" s="5">
        <f t="shared" si="62"/>
        <v>47</v>
      </c>
      <c r="L53" s="5">
        <f t="shared" si="62"/>
        <v>922.19999999999982</v>
      </c>
      <c r="M53" s="5">
        <f t="shared" si="62"/>
        <v>8696.5999999999985</v>
      </c>
      <c r="N53" s="5">
        <f t="shared" si="62"/>
        <v>74.399999999999977</v>
      </c>
      <c r="O53" s="5">
        <f t="shared" si="62"/>
        <v>1012.6000000000003</v>
      </c>
      <c r="P53" s="5">
        <f t="shared" si="62"/>
        <v>7521.7999999999993</v>
      </c>
      <c r="Q53">
        <f t="shared" si="22"/>
        <v>4.6566523605150227E-2</v>
      </c>
      <c r="R53">
        <f t="shared" si="23"/>
        <v>0.84387219837863603</v>
      </c>
      <c r="S53">
        <f t="shared" si="23"/>
        <v>6.1095612780162138</v>
      </c>
      <c r="T53">
        <f t="shared" si="24"/>
        <v>3.909477836603345E-2</v>
      </c>
      <c r="U53">
        <f t="shared" si="24"/>
        <v>0.77898889234921653</v>
      </c>
      <c r="V53">
        <f t="shared" si="24"/>
        <v>6.1819163292847508</v>
      </c>
      <c r="W53">
        <f t="shared" si="25"/>
        <v>2.1556928137740371E-2</v>
      </c>
      <c r="X53">
        <f t="shared" si="25"/>
        <v>0.72681142937131482</v>
      </c>
      <c r="Y53">
        <f t="shared" si="25"/>
        <v>6.2516316424909446</v>
      </c>
      <c r="Z53">
        <f t="shared" si="26"/>
        <v>3.4037534399635833E-2</v>
      </c>
      <c r="AA53">
        <f t="shared" si="26"/>
        <v>0.66785987709242889</v>
      </c>
      <c r="AB53">
        <f t="shared" si="26"/>
        <v>6.2981025885079349</v>
      </c>
      <c r="AC53">
        <f t="shared" si="27"/>
        <v>6.0496236409255638E-2</v>
      </c>
      <c r="AD53">
        <f t="shared" si="27"/>
        <v>0.8233667874732834</v>
      </c>
      <c r="AE53">
        <f t="shared" si="27"/>
        <v>6.1161369761174607</v>
      </c>
      <c r="AF53">
        <f t="shared" si="28"/>
        <v>0.41244635193133056</v>
      </c>
      <c r="AG53">
        <f t="shared" si="28"/>
        <v>7.4742966142107763</v>
      </c>
      <c r="AH53">
        <f t="shared" si="28"/>
        <v>54.113257033857892</v>
      </c>
      <c r="AI53">
        <f t="shared" si="29"/>
        <v>0.34626803695629627</v>
      </c>
      <c r="AJ53">
        <f t="shared" si="29"/>
        <v>6.8996159036644897</v>
      </c>
      <c r="AK53">
        <f t="shared" si="29"/>
        <v>54.754116059379221</v>
      </c>
      <c r="AL53">
        <f t="shared" si="30"/>
        <v>0.19093279207712899</v>
      </c>
      <c r="AM53">
        <f t="shared" si="30"/>
        <v>6.4374726601459313</v>
      </c>
      <c r="AN53">
        <f t="shared" si="30"/>
        <v>55.371594547776944</v>
      </c>
      <c r="AO53">
        <f t="shared" si="31"/>
        <v>0.30147530468248884</v>
      </c>
      <c r="AP53">
        <f t="shared" si="31"/>
        <v>5.9153303399615131</v>
      </c>
      <c r="AQ53">
        <f t="shared" si="31"/>
        <v>55.783194355355995</v>
      </c>
      <c r="AR53">
        <f t="shared" si="32"/>
        <v>0.53582380819626418</v>
      </c>
      <c r="AS53">
        <f t="shared" si="32"/>
        <v>7.2926772604776531</v>
      </c>
      <c r="AT53">
        <f t="shared" si="32"/>
        <v>54.171498931326084</v>
      </c>
      <c r="AU53">
        <f t="shared" si="33"/>
        <v>4.124463519313306E-2</v>
      </c>
      <c r="AV53">
        <f t="shared" si="33"/>
        <v>0.74742966142107758</v>
      </c>
      <c r="AW53">
        <f t="shared" si="33"/>
        <v>5.4113257033857893</v>
      </c>
      <c r="AX53">
        <f t="shared" si="34"/>
        <v>3.4626803695629628E-2</v>
      </c>
      <c r="AY53">
        <f t="shared" si="34"/>
        <v>0.689961590366449</v>
      </c>
      <c r="AZ53">
        <f t="shared" si="34"/>
        <v>5.4754116059379223</v>
      </c>
      <c r="BA53">
        <f t="shared" si="35"/>
        <v>1.90932792077129E-2</v>
      </c>
      <c r="BB53">
        <f t="shared" si="35"/>
        <v>0.6437472660145932</v>
      </c>
      <c r="BC53">
        <f t="shared" si="35"/>
        <v>5.5371594547776946</v>
      </c>
      <c r="BD53">
        <f t="shared" si="36"/>
        <v>3.0147530468248883E-2</v>
      </c>
      <c r="BE53">
        <f t="shared" si="36"/>
        <v>0.59153303399615131</v>
      </c>
      <c r="BF53">
        <f t="shared" si="36"/>
        <v>5.5783194355355992</v>
      </c>
      <c r="BG53">
        <f t="shared" si="37"/>
        <v>5.3582380819626421E-2</v>
      </c>
      <c r="BH53">
        <f t="shared" si="37"/>
        <v>0.72926772604776535</v>
      </c>
      <c r="BI53">
        <f t="shared" si="37"/>
        <v>5.4171498931326081</v>
      </c>
      <c r="BJ53">
        <f t="shared" si="38"/>
        <v>18.62660944206009</v>
      </c>
      <c r="BK53">
        <f t="shared" si="50"/>
        <v>337.54887935145439</v>
      </c>
      <c r="BL53">
        <f t="shared" si="39"/>
        <v>2443.8245112064856</v>
      </c>
      <c r="BM53">
        <f t="shared" si="40"/>
        <v>15.637911346413381</v>
      </c>
      <c r="BN53">
        <f t="shared" si="40"/>
        <v>311.59555693968662</v>
      </c>
      <c r="BO53">
        <f t="shared" si="40"/>
        <v>2472.7665317139003</v>
      </c>
      <c r="BP53">
        <f t="shared" si="41"/>
        <v>8.6227712550961488</v>
      </c>
      <c r="BQ53">
        <f t="shared" si="41"/>
        <v>290.72457174852593</v>
      </c>
      <c r="BR53">
        <f t="shared" si="41"/>
        <v>2500.652656996378</v>
      </c>
      <c r="BS53">
        <f t="shared" si="42"/>
        <v>13.615013759854333</v>
      </c>
      <c r="BT53">
        <f t="shared" si="42"/>
        <v>267.14395083697156</v>
      </c>
      <c r="BU53">
        <f t="shared" si="42"/>
        <v>2519.241035403174</v>
      </c>
      <c r="BV53">
        <f t="shared" si="43"/>
        <v>24.198494563702255</v>
      </c>
      <c r="BW53">
        <f t="shared" si="43"/>
        <v>329.34671498931334</v>
      </c>
      <c r="BX53">
        <f t="shared" si="43"/>
        <v>2446.4547904469841</v>
      </c>
    </row>
    <row r="54" spans="1:76" x14ac:dyDescent="0.35">
      <c r="A54">
        <v>2075</v>
      </c>
      <c r="B54" s="5">
        <v>56</v>
      </c>
      <c r="C54" s="5">
        <v>998</v>
      </c>
      <c r="D54" s="5">
        <v>7302</v>
      </c>
      <c r="E54" s="5">
        <v>54</v>
      </c>
      <c r="F54" s="5">
        <v>1061</v>
      </c>
      <c r="G54" s="5">
        <v>8516</v>
      </c>
      <c r="H54" s="5">
        <v>35</v>
      </c>
      <c r="I54" s="5">
        <v>1180</v>
      </c>
      <c r="J54" s="5">
        <v>10269</v>
      </c>
      <c r="K54" s="5">
        <v>47</v>
      </c>
      <c r="L54" s="5">
        <v>908</v>
      </c>
      <c r="M54" s="5">
        <v>8713</v>
      </c>
      <c r="N54" s="5">
        <v>75</v>
      </c>
      <c r="O54" s="5">
        <v>1000</v>
      </c>
      <c r="P54" s="5">
        <v>7510</v>
      </c>
      <c r="Q54">
        <f t="shared" si="22"/>
        <v>4.691239827668741E-2</v>
      </c>
      <c r="R54">
        <f t="shared" si="23"/>
        <v>0.83604595500239354</v>
      </c>
      <c r="S54">
        <f t="shared" si="23"/>
        <v>6.117041646720919</v>
      </c>
      <c r="T54">
        <f t="shared" si="24"/>
        <v>3.9248260824421136E-2</v>
      </c>
      <c r="U54">
        <f t="shared" si="24"/>
        <v>0.77115564323538577</v>
      </c>
      <c r="V54">
        <f t="shared" si="24"/>
        <v>6.1895960959401934</v>
      </c>
      <c r="W54">
        <f t="shared" si="25"/>
        <v>2.133402995471961E-2</v>
      </c>
      <c r="X54">
        <f t="shared" si="25"/>
        <v>0.71926158133054685</v>
      </c>
      <c r="Y54">
        <f t="shared" si="25"/>
        <v>6.2594043887147333</v>
      </c>
      <c r="Z54">
        <f t="shared" si="26"/>
        <v>3.4029788994621432E-2</v>
      </c>
      <c r="AA54">
        <f t="shared" si="26"/>
        <v>0.65742656185353743</v>
      </c>
      <c r="AB54">
        <f t="shared" si="26"/>
        <v>6.308543649151841</v>
      </c>
      <c r="AC54">
        <f t="shared" si="27"/>
        <v>6.1153174140943511E-2</v>
      </c>
      <c r="AD54">
        <f t="shared" si="27"/>
        <v>0.81537565521258015</v>
      </c>
      <c r="AE54">
        <f t="shared" si="27"/>
        <v>6.1234711706464768</v>
      </c>
      <c r="AF54">
        <f t="shared" si="28"/>
        <v>0.41550981330780279</v>
      </c>
      <c r="AG54">
        <f t="shared" si="28"/>
        <v>7.4049784585926286</v>
      </c>
      <c r="AH54">
        <f t="shared" si="28"/>
        <v>54.17951172809957</v>
      </c>
      <c r="AI54">
        <f t="shared" si="29"/>
        <v>0.34762745301630149</v>
      </c>
      <c r="AJ54">
        <f t="shared" si="29"/>
        <v>6.8302356972277023</v>
      </c>
      <c r="AK54">
        <f t="shared" si="29"/>
        <v>54.822136849755999</v>
      </c>
      <c r="AL54">
        <f t="shared" si="30"/>
        <v>0.18895855102751655</v>
      </c>
      <c r="AM54">
        <f t="shared" si="30"/>
        <v>6.3706025774991293</v>
      </c>
      <c r="AN54">
        <f t="shared" si="30"/>
        <v>55.440438871473354</v>
      </c>
      <c r="AO54">
        <f t="shared" si="31"/>
        <v>0.30140670252378982</v>
      </c>
      <c r="AP54">
        <f t="shared" si="31"/>
        <v>5.8229209764170458</v>
      </c>
      <c r="AQ54">
        <f t="shared" si="31"/>
        <v>55.875672321059163</v>
      </c>
      <c r="AR54">
        <f t="shared" si="32"/>
        <v>0.54164239953407112</v>
      </c>
      <c r="AS54">
        <f t="shared" si="32"/>
        <v>7.221898660454281</v>
      </c>
      <c r="AT54">
        <f t="shared" si="32"/>
        <v>54.236458940011651</v>
      </c>
      <c r="AU54">
        <f t="shared" si="33"/>
        <v>4.1550981330780279E-2</v>
      </c>
      <c r="AV54">
        <f t="shared" si="33"/>
        <v>0.74049784585926282</v>
      </c>
      <c r="AW54">
        <f t="shared" si="33"/>
        <v>5.417951172809957</v>
      </c>
      <c r="AX54">
        <f t="shared" si="34"/>
        <v>3.4762745301630149E-2</v>
      </c>
      <c r="AY54">
        <f t="shared" si="34"/>
        <v>0.68302356972277023</v>
      </c>
      <c r="AZ54">
        <f t="shared" si="34"/>
        <v>5.4822136849755996</v>
      </c>
      <c r="BA54">
        <f t="shared" si="35"/>
        <v>1.8895855102751654E-2</v>
      </c>
      <c r="BB54">
        <f t="shared" si="35"/>
        <v>0.63706025774991293</v>
      </c>
      <c r="BC54">
        <f t="shared" si="35"/>
        <v>5.5440438871473354</v>
      </c>
      <c r="BD54">
        <f t="shared" si="36"/>
        <v>3.0140670252378984E-2</v>
      </c>
      <c r="BE54">
        <f t="shared" si="36"/>
        <v>0.58229209764170464</v>
      </c>
      <c r="BF54">
        <f t="shared" si="36"/>
        <v>5.5875672321059167</v>
      </c>
      <c r="BG54">
        <f t="shared" si="37"/>
        <v>5.4164239953407113E-2</v>
      </c>
      <c r="BH54">
        <f t="shared" si="37"/>
        <v>0.72218986604542812</v>
      </c>
      <c r="BI54">
        <f t="shared" si="37"/>
        <v>5.4236458940011651</v>
      </c>
      <c r="BJ54">
        <f t="shared" si="38"/>
        <v>18.764959310674964</v>
      </c>
      <c r="BK54">
        <f t="shared" si="50"/>
        <v>334.41838200095742</v>
      </c>
      <c r="BL54">
        <f t="shared" si="39"/>
        <v>2446.8166586883676</v>
      </c>
      <c r="BM54">
        <f t="shared" si="40"/>
        <v>15.699304329768456</v>
      </c>
      <c r="BN54">
        <f t="shared" si="40"/>
        <v>308.46225729415431</v>
      </c>
      <c r="BO54">
        <f t="shared" si="40"/>
        <v>2475.8384383760772</v>
      </c>
      <c r="BP54">
        <f t="shared" si="41"/>
        <v>8.5336119818878444</v>
      </c>
      <c r="BQ54">
        <f t="shared" si="41"/>
        <v>287.70463253221874</v>
      </c>
      <c r="BR54">
        <f t="shared" si="41"/>
        <v>2503.7617554858934</v>
      </c>
      <c r="BS54">
        <f t="shared" si="42"/>
        <v>13.611915597848572</v>
      </c>
      <c r="BT54">
        <f t="shared" si="42"/>
        <v>262.97062474141501</v>
      </c>
      <c r="BU54">
        <f t="shared" si="42"/>
        <v>2523.4174596607363</v>
      </c>
      <c r="BV54">
        <f t="shared" si="43"/>
        <v>24.461269656377404</v>
      </c>
      <c r="BW54">
        <f t="shared" si="43"/>
        <v>326.15026208503201</v>
      </c>
      <c r="BX54">
        <f t="shared" si="43"/>
        <v>2449.3884682585908</v>
      </c>
    </row>
    <row r="55" spans="1:76" x14ac:dyDescent="0.35">
      <c r="A55">
        <v>2076</v>
      </c>
      <c r="B55" s="5">
        <f>B54+((B$59-B$54)/5)</f>
        <v>56</v>
      </c>
      <c r="C55" s="5">
        <f t="shared" ref="C55:P58" si="63">C54+((C$59-C$54)/5)</f>
        <v>985.4</v>
      </c>
      <c r="D55" s="5">
        <f t="shared" si="63"/>
        <v>7277.4</v>
      </c>
      <c r="E55" s="5">
        <f t="shared" si="63"/>
        <v>54</v>
      </c>
      <c r="F55" s="5">
        <f t="shared" si="63"/>
        <v>1050</v>
      </c>
      <c r="G55" s="5">
        <f t="shared" si="63"/>
        <v>8519.2000000000007</v>
      </c>
      <c r="H55" s="5">
        <f t="shared" si="63"/>
        <v>34.799999999999997</v>
      </c>
      <c r="I55" s="5">
        <f t="shared" si="63"/>
        <v>1173.8</v>
      </c>
      <c r="J55" s="5">
        <f t="shared" si="63"/>
        <v>10328.200000000001</v>
      </c>
      <c r="K55" s="5">
        <f t="shared" si="63"/>
        <v>46.8</v>
      </c>
      <c r="L55" s="5">
        <f t="shared" si="63"/>
        <v>894.2</v>
      </c>
      <c r="M55" s="5">
        <f t="shared" si="63"/>
        <v>8726.4</v>
      </c>
      <c r="N55" s="5">
        <f t="shared" si="63"/>
        <v>75.599999999999994</v>
      </c>
      <c r="O55" s="5">
        <f t="shared" si="63"/>
        <v>987.4</v>
      </c>
      <c r="P55" s="5">
        <f t="shared" si="63"/>
        <v>7492.8</v>
      </c>
      <c r="Q55">
        <f t="shared" si="22"/>
        <v>4.7122181083810166E-2</v>
      </c>
      <c r="R55">
        <f t="shared" si="23"/>
        <v>0.82918209357118822</v>
      </c>
      <c r="S55">
        <f t="shared" si="23"/>
        <v>6.1236957253450015</v>
      </c>
      <c r="T55">
        <f t="shared" si="24"/>
        <v>3.9280073156538364E-2</v>
      </c>
      <c r="U55">
        <f t="shared" si="24"/>
        <v>0.76377920026602375</v>
      </c>
      <c r="V55">
        <f t="shared" si="24"/>
        <v>6.1969407265774379</v>
      </c>
      <c r="W55">
        <f t="shared" si="25"/>
        <v>2.1115040565841476E-2</v>
      </c>
      <c r="X55">
        <f t="shared" si="25"/>
        <v>0.7122078912696761</v>
      </c>
      <c r="Y55">
        <f t="shared" si="25"/>
        <v>6.2666770681644826</v>
      </c>
      <c r="Z55">
        <f t="shared" si="26"/>
        <v>3.388708442807787E-2</v>
      </c>
      <c r="AA55">
        <f t="shared" si="26"/>
        <v>0.64747501913647931</v>
      </c>
      <c r="AB55">
        <f t="shared" si="26"/>
        <v>6.318637896435443</v>
      </c>
      <c r="AC55">
        <f t="shared" si="27"/>
        <v>6.1852778232310245E-2</v>
      </c>
      <c r="AD55">
        <f t="shared" si="27"/>
        <v>0.80784964585427432</v>
      </c>
      <c r="AE55">
        <f t="shared" si="27"/>
        <v>6.1302975759134162</v>
      </c>
      <c r="AF55">
        <f t="shared" si="28"/>
        <v>0.41736788959946147</v>
      </c>
      <c r="AG55">
        <f t="shared" si="28"/>
        <v>7.3441842573448097</v>
      </c>
      <c r="AH55">
        <f t="shared" si="28"/>
        <v>54.238447853055732</v>
      </c>
      <c r="AI55">
        <f t="shared" si="29"/>
        <v>0.34790921938648262</v>
      </c>
      <c r="AJ55">
        <f t="shared" si="29"/>
        <v>6.7649014880704961</v>
      </c>
      <c r="AK55">
        <f t="shared" si="29"/>
        <v>54.88718929254302</v>
      </c>
      <c r="AL55">
        <f t="shared" si="30"/>
        <v>0.18701893072602452</v>
      </c>
      <c r="AM55">
        <f t="shared" si="30"/>
        <v>6.3081270369599878</v>
      </c>
      <c r="AN55">
        <f t="shared" si="30"/>
        <v>55.504854032313986</v>
      </c>
      <c r="AO55">
        <f t="shared" si="31"/>
        <v>0.30014274779154687</v>
      </c>
      <c r="AP55">
        <f t="shared" si="31"/>
        <v>5.7347787409231028</v>
      </c>
      <c r="AQ55">
        <f t="shared" si="31"/>
        <v>55.965078511285348</v>
      </c>
      <c r="AR55">
        <f t="shared" si="32"/>
        <v>0.54783889291474785</v>
      </c>
      <c r="AS55">
        <f t="shared" si="32"/>
        <v>7.1552397204235723</v>
      </c>
      <c r="AT55">
        <f t="shared" si="32"/>
        <v>54.296921386661687</v>
      </c>
      <c r="AU55">
        <f t="shared" si="33"/>
        <v>4.1736788959946147E-2</v>
      </c>
      <c r="AV55">
        <f t="shared" si="33"/>
        <v>0.73441842573448102</v>
      </c>
      <c r="AW55">
        <f t="shared" si="33"/>
        <v>5.4238447853055733</v>
      </c>
      <c r="AX55">
        <f t="shared" si="34"/>
        <v>3.4790921938648266E-2</v>
      </c>
      <c r="AY55">
        <f t="shared" si="34"/>
        <v>0.67649014880704961</v>
      </c>
      <c r="AZ55">
        <f t="shared" si="34"/>
        <v>5.4887189292543024</v>
      </c>
      <c r="BA55">
        <f t="shared" si="35"/>
        <v>1.8701893072602453E-2</v>
      </c>
      <c r="BB55">
        <f t="shared" si="35"/>
        <v>0.63081270369599884</v>
      </c>
      <c r="BC55">
        <f t="shared" si="35"/>
        <v>5.5504854032313986</v>
      </c>
      <c r="BD55">
        <f t="shared" si="36"/>
        <v>3.0014274779154686E-2</v>
      </c>
      <c r="BE55">
        <f t="shared" si="36"/>
        <v>0.57347787409231032</v>
      </c>
      <c r="BF55">
        <f t="shared" si="36"/>
        <v>5.5965078511285355</v>
      </c>
      <c r="BG55">
        <f t="shared" si="37"/>
        <v>5.4783889291474791E-2</v>
      </c>
      <c r="BH55">
        <f t="shared" si="37"/>
        <v>0.71552397204235729</v>
      </c>
      <c r="BI55">
        <f t="shared" si="37"/>
        <v>5.4296921386661685</v>
      </c>
      <c r="BJ55">
        <f t="shared" si="38"/>
        <v>18.848872433524065</v>
      </c>
      <c r="BK55">
        <f t="shared" si="50"/>
        <v>331.67283742847525</v>
      </c>
      <c r="BL55">
        <f t="shared" si="39"/>
        <v>2449.4782901380008</v>
      </c>
      <c r="BM55">
        <f t="shared" si="40"/>
        <v>15.712029262615346</v>
      </c>
      <c r="BN55">
        <f t="shared" si="40"/>
        <v>305.51168010640947</v>
      </c>
      <c r="BO55">
        <f t="shared" si="40"/>
        <v>2478.7762906309754</v>
      </c>
      <c r="BP55">
        <f t="shared" si="41"/>
        <v>8.4460162263365905</v>
      </c>
      <c r="BQ55">
        <f t="shared" si="41"/>
        <v>284.88315650787041</v>
      </c>
      <c r="BR55">
        <f t="shared" si="41"/>
        <v>2506.6708272657929</v>
      </c>
      <c r="BS55">
        <f t="shared" si="42"/>
        <v>13.554833771231149</v>
      </c>
      <c r="BT55">
        <f t="shared" si="42"/>
        <v>258.99000765459175</v>
      </c>
      <c r="BU55">
        <f t="shared" si="42"/>
        <v>2527.4551585741769</v>
      </c>
      <c r="BV55">
        <f t="shared" si="43"/>
        <v>24.741111292924096</v>
      </c>
      <c r="BW55">
        <f t="shared" si="43"/>
        <v>323.13985834170973</v>
      </c>
      <c r="BX55">
        <f t="shared" si="43"/>
        <v>2452.1190303653666</v>
      </c>
    </row>
    <row r="56" spans="1:76" x14ac:dyDescent="0.35">
      <c r="A56">
        <v>2077</v>
      </c>
      <c r="B56" s="5">
        <f t="shared" ref="B56:B58" si="64">B55+((B$59-B$54)/5)</f>
        <v>56</v>
      </c>
      <c r="C56" s="5">
        <f t="shared" si="63"/>
        <v>972.8</v>
      </c>
      <c r="D56" s="5">
        <f t="shared" si="63"/>
        <v>7252.7999999999993</v>
      </c>
      <c r="E56" s="5">
        <f t="shared" si="63"/>
        <v>54</v>
      </c>
      <c r="F56" s="5">
        <f t="shared" si="63"/>
        <v>1039</v>
      </c>
      <c r="G56" s="5">
        <f t="shared" si="63"/>
        <v>8522.4000000000015</v>
      </c>
      <c r="H56" s="5">
        <f t="shared" si="63"/>
        <v>34.599999999999994</v>
      </c>
      <c r="I56" s="5">
        <f t="shared" si="63"/>
        <v>1167.5999999999999</v>
      </c>
      <c r="J56" s="5">
        <f t="shared" si="63"/>
        <v>10387.400000000001</v>
      </c>
      <c r="K56" s="5">
        <f t="shared" si="63"/>
        <v>46.599999999999994</v>
      </c>
      <c r="L56" s="5">
        <f t="shared" si="63"/>
        <v>880.40000000000009</v>
      </c>
      <c r="M56" s="5">
        <f t="shared" si="63"/>
        <v>8739.7999999999993</v>
      </c>
      <c r="N56" s="5">
        <f t="shared" si="63"/>
        <v>76.199999999999989</v>
      </c>
      <c r="O56" s="5">
        <f t="shared" si="63"/>
        <v>974.8</v>
      </c>
      <c r="P56" s="5">
        <f t="shared" si="63"/>
        <v>7475.6</v>
      </c>
      <c r="Q56">
        <f t="shared" si="22"/>
        <v>4.7333848531684708E-2</v>
      </c>
      <c r="R56">
        <f t="shared" si="23"/>
        <v>0.82225656877898001</v>
      </c>
      <c r="S56">
        <f t="shared" si="23"/>
        <v>6.1304095826893352</v>
      </c>
      <c r="T56">
        <f t="shared" si="24"/>
        <v>3.9311937100900633E-2</v>
      </c>
      <c r="U56">
        <f t="shared" si="24"/>
        <v>0.75639078977473617</v>
      </c>
      <c r="V56">
        <f t="shared" si="24"/>
        <v>6.2042972731243635</v>
      </c>
      <c r="W56">
        <f t="shared" si="25"/>
        <v>2.0898046524470207E-2</v>
      </c>
      <c r="X56">
        <f t="shared" si="25"/>
        <v>0.7052184717332779</v>
      </c>
      <c r="Y56">
        <f t="shared" si="25"/>
        <v>6.2738834817422511</v>
      </c>
      <c r="Z56">
        <f t="shared" si="26"/>
        <v>3.3744362146729011E-2</v>
      </c>
      <c r="AA56">
        <f t="shared" si="26"/>
        <v>0.63752224107253708</v>
      </c>
      <c r="AB56">
        <f t="shared" si="26"/>
        <v>6.3287333967807342</v>
      </c>
      <c r="AC56">
        <f t="shared" si="27"/>
        <v>6.2557174020125242E-2</v>
      </c>
      <c r="AD56">
        <f t="shared" si="27"/>
        <v>0.80027208969577546</v>
      </c>
      <c r="AE56">
        <f t="shared" si="27"/>
        <v>6.1371707362840997</v>
      </c>
      <c r="AF56">
        <f t="shared" si="28"/>
        <v>0.41924265842349312</v>
      </c>
      <c r="AG56">
        <f t="shared" si="28"/>
        <v>7.2828438948995373</v>
      </c>
      <c r="AH56">
        <f t="shared" si="28"/>
        <v>54.297913446676972</v>
      </c>
      <c r="AI56">
        <f t="shared" si="29"/>
        <v>0.34819144289369131</v>
      </c>
      <c r="AJ56">
        <f t="shared" si="29"/>
        <v>6.6994612808619491</v>
      </c>
      <c r="AK56">
        <f t="shared" si="29"/>
        <v>54.95234727624436</v>
      </c>
      <c r="AL56">
        <f t="shared" si="30"/>
        <v>0.18509698350245041</v>
      </c>
      <c r="AM56">
        <f t="shared" si="30"/>
        <v>6.2462207496376045</v>
      </c>
      <c r="AN56">
        <f t="shared" si="30"/>
        <v>55.568682266859945</v>
      </c>
      <c r="AO56">
        <f t="shared" si="31"/>
        <v>0.29887863615674265</v>
      </c>
      <c r="AP56">
        <f t="shared" si="31"/>
        <v>5.646625563785328</v>
      </c>
      <c r="AQ56">
        <f t="shared" si="31"/>
        <v>56.054495800057929</v>
      </c>
      <c r="AR56">
        <f t="shared" si="32"/>
        <v>0.55407782703539499</v>
      </c>
      <c r="AS56">
        <f t="shared" si="32"/>
        <v>7.0881242230197259</v>
      </c>
      <c r="AT56">
        <f t="shared" si="32"/>
        <v>54.357797949944882</v>
      </c>
      <c r="AU56">
        <f t="shared" si="33"/>
        <v>4.1924265842349318E-2</v>
      </c>
      <c r="AV56">
        <f t="shared" si="33"/>
        <v>0.72828438948995378</v>
      </c>
      <c r="AW56">
        <f t="shared" si="33"/>
        <v>5.4297913446676978</v>
      </c>
      <c r="AX56">
        <f t="shared" si="34"/>
        <v>3.4819144289369129E-2</v>
      </c>
      <c r="AY56">
        <f t="shared" si="34"/>
        <v>0.66994612808619491</v>
      </c>
      <c r="AZ56">
        <f t="shared" si="34"/>
        <v>5.4952347276244362</v>
      </c>
      <c r="BA56">
        <f t="shared" si="35"/>
        <v>1.8509698350245039E-2</v>
      </c>
      <c r="BB56">
        <f t="shared" si="35"/>
        <v>0.62462207496376043</v>
      </c>
      <c r="BC56">
        <f t="shared" si="35"/>
        <v>5.5568682266859941</v>
      </c>
      <c r="BD56">
        <f t="shared" si="36"/>
        <v>2.9887863615674266E-2</v>
      </c>
      <c r="BE56">
        <f t="shared" si="36"/>
        <v>0.5646625563785328</v>
      </c>
      <c r="BF56">
        <f t="shared" si="36"/>
        <v>5.6054495800057929</v>
      </c>
      <c r="BG56">
        <f t="shared" si="37"/>
        <v>5.54077827035395E-2</v>
      </c>
      <c r="BH56">
        <f t="shared" si="37"/>
        <v>0.70881242230197261</v>
      </c>
      <c r="BI56">
        <f t="shared" si="37"/>
        <v>5.4357797949944882</v>
      </c>
      <c r="BJ56">
        <f t="shared" si="38"/>
        <v>18.933539412673884</v>
      </c>
      <c r="BK56">
        <f t="shared" si="50"/>
        <v>328.90262751159202</v>
      </c>
      <c r="BL56">
        <f t="shared" si="39"/>
        <v>2452.1638330757341</v>
      </c>
      <c r="BM56">
        <f t="shared" si="40"/>
        <v>15.724774840360253</v>
      </c>
      <c r="BN56">
        <f t="shared" si="40"/>
        <v>302.55631590989447</v>
      </c>
      <c r="BO56">
        <f t="shared" si="40"/>
        <v>2481.7189092497451</v>
      </c>
      <c r="BP56">
        <f t="shared" si="41"/>
        <v>8.3592186097880834</v>
      </c>
      <c r="BQ56">
        <f t="shared" si="41"/>
        <v>282.08738869331114</v>
      </c>
      <c r="BR56">
        <f t="shared" si="41"/>
        <v>2509.5533926969006</v>
      </c>
      <c r="BS56">
        <f t="shared" si="42"/>
        <v>13.497744858691604</v>
      </c>
      <c r="BT56">
        <f t="shared" si="42"/>
        <v>255.00889642901481</v>
      </c>
      <c r="BU56">
        <f t="shared" si="42"/>
        <v>2531.4933587122937</v>
      </c>
      <c r="BV56">
        <f t="shared" si="43"/>
        <v>25.022869608050097</v>
      </c>
      <c r="BW56">
        <f t="shared" si="43"/>
        <v>320.10883587831017</v>
      </c>
      <c r="BX56">
        <f t="shared" si="43"/>
        <v>2454.8682945136397</v>
      </c>
    </row>
    <row r="57" spans="1:76" x14ac:dyDescent="0.35">
      <c r="A57">
        <v>2078</v>
      </c>
      <c r="B57" s="5">
        <f t="shared" si="64"/>
        <v>56</v>
      </c>
      <c r="C57" s="5">
        <f t="shared" si="63"/>
        <v>960.19999999999993</v>
      </c>
      <c r="D57" s="5">
        <f t="shared" si="63"/>
        <v>7228.1999999999989</v>
      </c>
      <c r="E57" s="5">
        <f t="shared" si="63"/>
        <v>54</v>
      </c>
      <c r="F57" s="5">
        <f t="shared" si="63"/>
        <v>1028</v>
      </c>
      <c r="G57" s="5">
        <f t="shared" si="63"/>
        <v>8525.6000000000022</v>
      </c>
      <c r="H57" s="5">
        <f t="shared" si="63"/>
        <v>34.399999999999991</v>
      </c>
      <c r="I57" s="5">
        <f t="shared" si="63"/>
        <v>1161.3999999999999</v>
      </c>
      <c r="J57" s="5">
        <f t="shared" si="63"/>
        <v>10446.600000000002</v>
      </c>
      <c r="K57" s="5">
        <f t="shared" si="63"/>
        <v>46.399999999999991</v>
      </c>
      <c r="L57" s="5">
        <f t="shared" si="63"/>
        <v>866.60000000000014</v>
      </c>
      <c r="M57" s="5">
        <f t="shared" si="63"/>
        <v>8753.1999999999989</v>
      </c>
      <c r="N57" s="5">
        <f t="shared" si="63"/>
        <v>76.799999999999983</v>
      </c>
      <c r="O57" s="5">
        <f t="shared" si="63"/>
        <v>962.19999999999993</v>
      </c>
      <c r="P57" s="5">
        <f t="shared" si="63"/>
        <v>7458.4000000000005</v>
      </c>
      <c r="Q57">
        <f t="shared" si="22"/>
        <v>4.7547426131677263E-2</v>
      </c>
      <c r="R57">
        <f t="shared" si="23"/>
        <v>0.81526854592208042</v>
      </c>
      <c r="S57">
        <f t="shared" si="23"/>
        <v>6.1371840279462422</v>
      </c>
      <c r="T57">
        <f t="shared" si="24"/>
        <v>3.9343852783213278E-2</v>
      </c>
      <c r="U57">
        <f t="shared" si="24"/>
        <v>0.74899038261376394</v>
      </c>
      <c r="V57">
        <f t="shared" si="24"/>
        <v>6.2116657646030227</v>
      </c>
      <c r="W57">
        <f t="shared" si="25"/>
        <v>2.0683020683020675E-2</v>
      </c>
      <c r="X57">
        <f t="shared" si="25"/>
        <v>0.69829244829244819</v>
      </c>
      <c r="Y57">
        <f t="shared" si="25"/>
        <v>6.2810245310245314</v>
      </c>
      <c r="Z57">
        <f t="shared" si="26"/>
        <v>3.3601622147276078E-2</v>
      </c>
      <c r="AA57">
        <f t="shared" si="26"/>
        <v>0.62756822743166929</v>
      </c>
      <c r="AB57">
        <f t="shared" si="26"/>
        <v>6.338830150421054</v>
      </c>
      <c r="AC57">
        <f t="shared" si="27"/>
        <v>6.3266410902158288E-2</v>
      </c>
      <c r="AD57">
        <f t="shared" si="27"/>
        <v>0.79264245533928002</v>
      </c>
      <c r="AE57">
        <f t="shared" si="27"/>
        <v>6.1440911337585611</v>
      </c>
      <c r="AF57">
        <f t="shared" si="28"/>
        <v>0.42113434573771286</v>
      </c>
      <c r="AG57">
        <f t="shared" si="28"/>
        <v>7.2209499781669981</v>
      </c>
      <c r="AH57">
        <f t="shared" si="28"/>
        <v>54.357915676095281</v>
      </c>
      <c r="AI57">
        <f t="shared" si="29"/>
        <v>0.34847412465131761</v>
      </c>
      <c r="AJ57">
        <f t="shared" si="29"/>
        <v>6.6339148174361942</v>
      </c>
      <c r="AK57">
        <f t="shared" si="29"/>
        <v>55.01761105791249</v>
      </c>
      <c r="AL57">
        <f t="shared" si="30"/>
        <v>0.18319246890675453</v>
      </c>
      <c r="AM57">
        <f t="shared" si="30"/>
        <v>6.1848759705902552</v>
      </c>
      <c r="AN57">
        <f t="shared" si="30"/>
        <v>55.631931560502991</v>
      </c>
      <c r="AO57">
        <f t="shared" si="31"/>
        <v>0.29761436759015952</v>
      </c>
      <c r="AP57">
        <f t="shared" si="31"/>
        <v>5.5584614429662142</v>
      </c>
      <c r="AQ57">
        <f t="shared" si="31"/>
        <v>56.143924189443624</v>
      </c>
      <c r="AR57">
        <f t="shared" si="32"/>
        <v>0.56035963941911626</v>
      </c>
      <c r="AS57">
        <f t="shared" si="32"/>
        <v>7.0205474615764807</v>
      </c>
      <c r="AT57">
        <f t="shared" si="32"/>
        <v>54.419092899004397</v>
      </c>
      <c r="AU57">
        <f t="shared" si="33"/>
        <v>4.2113434573771286E-2</v>
      </c>
      <c r="AV57">
        <f t="shared" si="33"/>
        <v>0.72209499781669984</v>
      </c>
      <c r="AW57">
        <f t="shared" si="33"/>
        <v>5.4357915676095283</v>
      </c>
      <c r="AX57">
        <f t="shared" si="34"/>
        <v>3.4847412465131761E-2</v>
      </c>
      <c r="AY57">
        <f t="shared" si="34"/>
        <v>0.6633914817436195</v>
      </c>
      <c r="AZ57">
        <f t="shared" si="34"/>
        <v>5.5017611057912488</v>
      </c>
      <c r="BA57">
        <f t="shared" si="35"/>
        <v>1.8319246890675454E-2</v>
      </c>
      <c r="BB57">
        <f t="shared" si="35"/>
        <v>0.61848759705902556</v>
      </c>
      <c r="BC57">
        <f t="shared" si="35"/>
        <v>5.5631931560502998</v>
      </c>
      <c r="BD57">
        <f t="shared" si="36"/>
        <v>2.9761436759015953E-2</v>
      </c>
      <c r="BE57">
        <f t="shared" si="36"/>
        <v>0.55584614429662138</v>
      </c>
      <c r="BF57">
        <f t="shared" si="36"/>
        <v>5.6143924189443624</v>
      </c>
      <c r="BG57">
        <f t="shared" si="37"/>
        <v>5.6035963941911626E-2</v>
      </c>
      <c r="BH57">
        <f t="shared" si="37"/>
        <v>0.70205474615764807</v>
      </c>
      <c r="BI57">
        <f t="shared" si="37"/>
        <v>5.4419092899004404</v>
      </c>
      <c r="BJ57">
        <f t="shared" si="38"/>
        <v>19.018970452670903</v>
      </c>
      <c r="BK57">
        <f t="shared" si="50"/>
        <v>326.10741836883216</v>
      </c>
      <c r="BL57">
        <f t="shared" si="39"/>
        <v>2454.8736111784965</v>
      </c>
      <c r="BM57">
        <f t="shared" si="40"/>
        <v>15.737541113285312</v>
      </c>
      <c r="BN57">
        <f t="shared" si="40"/>
        <v>299.59615304550556</v>
      </c>
      <c r="BO57">
        <f t="shared" si="40"/>
        <v>2484.6663058412091</v>
      </c>
      <c r="BP57">
        <f t="shared" si="41"/>
        <v>8.2732082732082688</v>
      </c>
      <c r="BQ57">
        <f t="shared" si="41"/>
        <v>279.31697931697926</v>
      </c>
      <c r="BR57">
        <f t="shared" si="41"/>
        <v>2512.4098124098127</v>
      </c>
      <c r="BS57">
        <f t="shared" si="42"/>
        <v>13.44064885891043</v>
      </c>
      <c r="BT57">
        <f t="shared" si="42"/>
        <v>251.02729097266771</v>
      </c>
      <c r="BU57">
        <f t="shared" si="42"/>
        <v>2535.5320601684216</v>
      </c>
      <c r="BV57">
        <f t="shared" si="43"/>
        <v>25.306564360863316</v>
      </c>
      <c r="BW57">
        <f t="shared" si="43"/>
        <v>317.05698213571202</v>
      </c>
      <c r="BX57">
        <f t="shared" si="43"/>
        <v>2457.6364535034245</v>
      </c>
    </row>
    <row r="58" spans="1:76" x14ac:dyDescent="0.35">
      <c r="A58">
        <v>2079</v>
      </c>
      <c r="B58" s="5">
        <f t="shared" si="64"/>
        <v>56</v>
      </c>
      <c r="C58" s="5">
        <f t="shared" si="63"/>
        <v>947.59999999999991</v>
      </c>
      <c r="D58" s="5">
        <f t="shared" si="63"/>
        <v>7203.5999999999985</v>
      </c>
      <c r="E58" s="5">
        <f t="shared" si="63"/>
        <v>54</v>
      </c>
      <c r="F58" s="5">
        <f t="shared" si="63"/>
        <v>1017</v>
      </c>
      <c r="G58" s="5">
        <f t="shared" si="63"/>
        <v>8528.8000000000029</v>
      </c>
      <c r="H58" s="5">
        <f t="shared" si="63"/>
        <v>34.199999999999989</v>
      </c>
      <c r="I58" s="5">
        <f t="shared" si="63"/>
        <v>1155.1999999999998</v>
      </c>
      <c r="J58" s="5">
        <f t="shared" si="63"/>
        <v>10505.800000000003</v>
      </c>
      <c r="K58" s="5">
        <f t="shared" si="63"/>
        <v>46.199999999999989</v>
      </c>
      <c r="L58" s="5">
        <f t="shared" si="63"/>
        <v>852.80000000000018</v>
      </c>
      <c r="M58" s="5">
        <f t="shared" si="63"/>
        <v>8766.5999999999985</v>
      </c>
      <c r="N58" s="5">
        <f t="shared" si="63"/>
        <v>77.399999999999977</v>
      </c>
      <c r="O58" s="5">
        <f t="shared" si="63"/>
        <v>949.59999999999991</v>
      </c>
      <c r="P58" s="5">
        <f t="shared" si="63"/>
        <v>7441.2000000000007</v>
      </c>
      <c r="Q58">
        <f t="shared" si="22"/>
        <v>4.776293985768594E-2</v>
      </c>
      <c r="R58">
        <f t="shared" si="23"/>
        <v>0.80821717516327141</v>
      </c>
      <c r="S58">
        <f t="shared" si="23"/>
        <v>6.1440198849790431</v>
      </c>
      <c r="T58">
        <f t="shared" si="24"/>
        <v>3.9375820329590187E-2</v>
      </c>
      <c r="U58">
        <f t="shared" si="24"/>
        <v>0.74157794954061518</v>
      </c>
      <c r="V58">
        <f t="shared" si="24"/>
        <v>6.2190462301297948</v>
      </c>
      <c r="W58">
        <f t="shared" si="25"/>
        <v>2.0469936384157592E-2</v>
      </c>
      <c r="X58">
        <f t="shared" si="25"/>
        <v>0.69142896230932327</v>
      </c>
      <c r="Y58">
        <f t="shared" si="25"/>
        <v>6.2881011013065189</v>
      </c>
      <c r="Z58">
        <f t="shared" si="26"/>
        <v>3.3458864426419467E-2</v>
      </c>
      <c r="AA58">
        <f t="shared" si="26"/>
        <v>0.61761297798377779</v>
      </c>
      <c r="AB58">
        <f t="shared" si="26"/>
        <v>6.3489281575898024</v>
      </c>
      <c r="AC58">
        <f t="shared" si="27"/>
        <v>6.3980538957511615E-2</v>
      </c>
      <c r="AD58">
        <f t="shared" si="27"/>
        <v>0.78496020405753275</v>
      </c>
      <c r="AE58">
        <f t="shared" si="27"/>
        <v>6.151059256984956</v>
      </c>
      <c r="AF58">
        <f t="shared" si="28"/>
        <v>0.42304318159664689</v>
      </c>
      <c r="AG58">
        <f t="shared" si="28"/>
        <v>7.1584949800175464</v>
      </c>
      <c r="AH58">
        <f t="shared" si="28"/>
        <v>54.418461838385809</v>
      </c>
      <c r="AI58">
        <f t="shared" si="29"/>
        <v>0.34875726577637023</v>
      </c>
      <c r="AJ58">
        <f t="shared" si="29"/>
        <v>6.5682618387883061</v>
      </c>
      <c r="AK58">
        <f t="shared" si="29"/>
        <v>55.082980895435327</v>
      </c>
      <c r="AL58">
        <f t="shared" si="30"/>
        <v>0.1813051508311101</v>
      </c>
      <c r="AM58">
        <f t="shared" si="30"/>
        <v>6.1240850947397201</v>
      </c>
      <c r="AN58">
        <f t="shared" si="30"/>
        <v>55.694609754429173</v>
      </c>
      <c r="AO58">
        <f t="shared" si="31"/>
        <v>0.29634994206257242</v>
      </c>
      <c r="AP58">
        <f t="shared" si="31"/>
        <v>5.4702863764277456</v>
      </c>
      <c r="AQ58">
        <f t="shared" si="31"/>
        <v>56.23336368150968</v>
      </c>
      <c r="AR58">
        <f t="shared" si="32"/>
        <v>0.56668477362367431</v>
      </c>
      <c r="AS58">
        <f t="shared" si="32"/>
        <v>6.9525046645095756</v>
      </c>
      <c r="AT58">
        <f t="shared" si="32"/>
        <v>54.480810561866747</v>
      </c>
      <c r="AU58">
        <f t="shared" si="33"/>
        <v>4.2304318159664692E-2</v>
      </c>
      <c r="AV58">
        <f t="shared" si="33"/>
        <v>0.71584949800175468</v>
      </c>
      <c r="AW58">
        <f t="shared" si="33"/>
        <v>5.4418461838385808</v>
      </c>
      <c r="AX58">
        <f t="shared" si="34"/>
        <v>3.4875726577637024E-2</v>
      </c>
      <c r="AY58">
        <f t="shared" si="34"/>
        <v>0.65682618387883063</v>
      </c>
      <c r="AZ58">
        <f t="shared" si="34"/>
        <v>5.5082980895435325</v>
      </c>
      <c r="BA58">
        <f t="shared" si="35"/>
        <v>1.8130515083111011E-2</v>
      </c>
      <c r="BB58">
        <f t="shared" si="35"/>
        <v>0.61240850947397207</v>
      </c>
      <c r="BC58">
        <f t="shared" si="35"/>
        <v>5.569460975442917</v>
      </c>
      <c r="BD58">
        <f t="shared" si="36"/>
        <v>2.9634994206257242E-2</v>
      </c>
      <c r="BE58">
        <f t="shared" si="36"/>
        <v>0.54702863764277454</v>
      </c>
      <c r="BF58">
        <f t="shared" si="36"/>
        <v>5.6233363681509685</v>
      </c>
      <c r="BG58">
        <f t="shared" si="37"/>
        <v>5.666847736236743E-2</v>
      </c>
      <c r="BH58">
        <f t="shared" si="37"/>
        <v>0.69525046645095756</v>
      </c>
      <c r="BI58">
        <f t="shared" si="37"/>
        <v>5.448081056186675</v>
      </c>
      <c r="BJ58">
        <f t="shared" si="38"/>
        <v>19.105175943074375</v>
      </c>
      <c r="BK58">
        <f t="shared" si="50"/>
        <v>323.28687006530856</v>
      </c>
      <c r="BL58">
        <f t="shared" si="39"/>
        <v>2457.6079539916173</v>
      </c>
      <c r="BM58">
        <f t="shared" si="40"/>
        <v>15.750328131836076</v>
      </c>
      <c r="BN58">
        <f t="shared" si="40"/>
        <v>296.63117981624606</v>
      </c>
      <c r="BO58">
        <f t="shared" si="40"/>
        <v>2487.6184920519181</v>
      </c>
      <c r="BP58">
        <f t="shared" si="41"/>
        <v>8.1879745536630377</v>
      </c>
      <c r="BQ58">
        <f t="shared" si="41"/>
        <v>276.57158492372929</v>
      </c>
      <c r="BR58">
        <f t="shared" si="41"/>
        <v>2515.2404405226075</v>
      </c>
      <c r="BS58">
        <f t="shared" si="42"/>
        <v>13.383545770567785</v>
      </c>
      <c r="BT58">
        <f t="shared" si="42"/>
        <v>247.0451911935111</v>
      </c>
      <c r="BU58">
        <f t="shared" si="42"/>
        <v>2539.5712630359212</v>
      </c>
      <c r="BV58">
        <f t="shared" si="43"/>
        <v>25.592215583004645</v>
      </c>
      <c r="BW58">
        <f t="shared" si="43"/>
        <v>313.98408162301308</v>
      </c>
      <c r="BX58">
        <f t="shared" si="43"/>
        <v>2460.4237027939821</v>
      </c>
    </row>
    <row r="59" spans="1:76" x14ac:dyDescent="0.35">
      <c r="A59">
        <v>2080</v>
      </c>
      <c r="B59" s="5">
        <v>56</v>
      </c>
      <c r="C59" s="5">
        <v>935</v>
      </c>
      <c r="D59" s="5">
        <v>7179</v>
      </c>
      <c r="E59" s="5">
        <v>54</v>
      </c>
      <c r="F59" s="5">
        <v>1006</v>
      </c>
      <c r="G59" s="5">
        <v>8532</v>
      </c>
      <c r="H59" s="5">
        <v>34</v>
      </c>
      <c r="I59" s="5">
        <v>1149</v>
      </c>
      <c r="J59" s="5">
        <v>10565</v>
      </c>
      <c r="K59" s="5">
        <v>46</v>
      </c>
      <c r="L59" s="5">
        <v>839</v>
      </c>
      <c r="M59" s="5">
        <v>8780</v>
      </c>
      <c r="N59" s="5">
        <v>78</v>
      </c>
      <c r="O59" s="5">
        <v>937</v>
      </c>
      <c r="P59" s="5">
        <v>7424</v>
      </c>
      <c r="Q59">
        <f t="shared" si="22"/>
        <v>4.7980416156670744E-2</v>
      </c>
      <c r="R59">
        <f t="shared" si="23"/>
        <v>0.80110159118727053</v>
      </c>
      <c r="S59">
        <f t="shared" si="23"/>
        <v>6.1509179926560593</v>
      </c>
      <c r="T59">
        <f t="shared" si="24"/>
        <v>3.9407839866555466E-2</v>
      </c>
      <c r="U59">
        <f t="shared" si="24"/>
        <v>0.73415346121768144</v>
      </c>
      <c r="V59">
        <f t="shared" si="24"/>
        <v>6.2264386989157634</v>
      </c>
      <c r="W59">
        <f t="shared" si="25"/>
        <v>2.0258767449778687E-2</v>
      </c>
      <c r="X59">
        <f t="shared" si="25"/>
        <v>0.68462717058222677</v>
      </c>
      <c r="Y59">
        <f t="shared" si="25"/>
        <v>6.2951140619679942</v>
      </c>
      <c r="Z59">
        <f t="shared" si="26"/>
        <v>3.331608898085877E-2</v>
      </c>
      <c r="AA59">
        <f t="shared" si="26"/>
        <v>0.60765649249870668</v>
      </c>
      <c r="AB59">
        <f t="shared" si="26"/>
        <v>6.3590274185204345</v>
      </c>
      <c r="AC59">
        <f t="shared" si="27"/>
        <v>6.4699608958407401E-2</v>
      </c>
      <c r="AD59">
        <f t="shared" si="27"/>
        <v>0.77722478966702213</v>
      </c>
      <c r="AE59">
        <f t="shared" si="27"/>
        <v>6.1580756013745699</v>
      </c>
      <c r="AF59">
        <f t="shared" si="28"/>
        <v>0.42496940024479807</v>
      </c>
      <c r="AG59">
        <f t="shared" si="28"/>
        <v>7.0954712362301109</v>
      </c>
      <c r="AH59">
        <f t="shared" si="28"/>
        <v>54.479559363525091</v>
      </c>
      <c r="AI59">
        <f t="shared" si="29"/>
        <v>0.34904086738949125</v>
      </c>
      <c r="AJ59">
        <f t="shared" si="29"/>
        <v>6.5025020850708923</v>
      </c>
      <c r="AK59">
        <f t="shared" si="29"/>
        <v>55.148457047539615</v>
      </c>
      <c r="AL59">
        <f t="shared" si="30"/>
        <v>0.17943479741232551</v>
      </c>
      <c r="AM59">
        <f t="shared" si="30"/>
        <v>6.0638406537282945</v>
      </c>
      <c r="AN59">
        <f t="shared" si="30"/>
        <v>55.756724548859381</v>
      </c>
      <c r="AO59">
        <f t="shared" si="31"/>
        <v>0.29508535954474907</v>
      </c>
      <c r="AP59">
        <f t="shared" si="31"/>
        <v>5.3821003621314025</v>
      </c>
      <c r="AQ59">
        <f t="shared" si="31"/>
        <v>56.322814278323847</v>
      </c>
      <c r="AR59">
        <f t="shared" si="32"/>
        <v>0.57305367934589402</v>
      </c>
      <c r="AS59">
        <f t="shared" si="32"/>
        <v>6.8839909941936241</v>
      </c>
      <c r="AT59">
        <f t="shared" si="32"/>
        <v>54.542955326460479</v>
      </c>
      <c r="AU59">
        <f t="shared" si="33"/>
        <v>4.2496940024479804E-2</v>
      </c>
      <c r="AV59">
        <f t="shared" si="33"/>
        <v>0.70954712362301109</v>
      </c>
      <c r="AW59">
        <f t="shared" si="33"/>
        <v>5.4479559363525096</v>
      </c>
      <c r="AX59">
        <f t="shared" si="34"/>
        <v>3.4904086738949125E-2</v>
      </c>
      <c r="AY59">
        <f t="shared" si="34"/>
        <v>0.65025020850708926</v>
      </c>
      <c r="AZ59">
        <f t="shared" si="34"/>
        <v>5.5148457047539621</v>
      </c>
      <c r="BA59">
        <f t="shared" si="35"/>
        <v>1.7943479741232549E-2</v>
      </c>
      <c r="BB59">
        <f t="shared" si="35"/>
        <v>0.60638406537282941</v>
      </c>
      <c r="BC59">
        <f t="shared" si="35"/>
        <v>5.5756724548859378</v>
      </c>
      <c r="BD59">
        <f t="shared" si="36"/>
        <v>2.9508535954474911E-2</v>
      </c>
      <c r="BE59">
        <f t="shared" si="36"/>
        <v>0.53821003621314023</v>
      </c>
      <c r="BF59">
        <f t="shared" si="36"/>
        <v>5.6322814278323854</v>
      </c>
      <c r="BG59">
        <f t="shared" si="37"/>
        <v>5.7305367934589409E-2</v>
      </c>
      <c r="BH59">
        <f t="shared" si="37"/>
        <v>0.6883990994193625</v>
      </c>
      <c r="BI59">
        <f t="shared" si="37"/>
        <v>5.4542955326460483</v>
      </c>
      <c r="BJ59">
        <f t="shared" si="38"/>
        <v>19.1921664626683</v>
      </c>
      <c r="BK59">
        <f t="shared" si="50"/>
        <v>320.44063647490822</v>
      </c>
      <c r="BL59">
        <f t="shared" si="39"/>
        <v>2460.3671970624237</v>
      </c>
      <c r="BM59">
        <f t="shared" si="40"/>
        <v>15.763135946622185</v>
      </c>
      <c r="BN59">
        <f t="shared" si="40"/>
        <v>293.66138448707255</v>
      </c>
      <c r="BO59">
        <f t="shared" si="40"/>
        <v>2490.5754795663051</v>
      </c>
      <c r="BP59">
        <f t="shared" si="41"/>
        <v>8.1035069799114741</v>
      </c>
      <c r="BQ59">
        <f t="shared" si="41"/>
        <v>273.85086823289072</v>
      </c>
      <c r="BR59">
        <f t="shared" si="41"/>
        <v>2518.0456247871975</v>
      </c>
      <c r="BS59">
        <f t="shared" si="42"/>
        <v>13.326435592343508</v>
      </c>
      <c r="BT59">
        <f t="shared" si="42"/>
        <v>243.06259699948268</v>
      </c>
      <c r="BU59">
        <f t="shared" si="42"/>
        <v>2543.610967408174</v>
      </c>
      <c r="BV59">
        <f t="shared" si="43"/>
        <v>25.879843583362959</v>
      </c>
      <c r="BW59">
        <f t="shared" si="43"/>
        <v>310.88991586680885</v>
      </c>
      <c r="BX59">
        <f t="shared" si="43"/>
        <v>2463.2302405498281</v>
      </c>
    </row>
    <row r="60" spans="1:76" x14ac:dyDescent="0.35">
      <c r="A60">
        <v>2081</v>
      </c>
      <c r="B60" s="5">
        <v>56</v>
      </c>
      <c r="C60" s="5">
        <f t="shared" ref="C60:E63" si="65">C59+((C$64-C$59)/5)</f>
        <v>922.4</v>
      </c>
      <c r="D60" s="5">
        <f t="shared" si="65"/>
        <v>7147.6</v>
      </c>
      <c r="E60" s="5">
        <f>E59+((E$64-E$59)/5)</f>
        <v>54.2</v>
      </c>
      <c r="F60" s="5">
        <f t="shared" ref="F60:P63" si="66">F59+((F$64-F$59)/5)</f>
        <v>995.2</v>
      </c>
      <c r="G60" s="5">
        <f t="shared" si="66"/>
        <v>8528.4</v>
      </c>
      <c r="H60" s="5">
        <f t="shared" si="66"/>
        <v>33.799999999999997</v>
      </c>
      <c r="I60" s="5">
        <f t="shared" si="66"/>
        <v>1143.8</v>
      </c>
      <c r="J60" s="5">
        <f t="shared" si="66"/>
        <v>10622</v>
      </c>
      <c r="K60" s="5">
        <f t="shared" si="66"/>
        <v>46</v>
      </c>
      <c r="L60" s="5">
        <f t="shared" si="66"/>
        <v>825.4</v>
      </c>
      <c r="M60" s="5">
        <f t="shared" si="66"/>
        <v>8789.2000000000007</v>
      </c>
      <c r="N60" s="5">
        <f t="shared" si="66"/>
        <v>78.599999999999994</v>
      </c>
      <c r="O60" s="5">
        <f t="shared" si="66"/>
        <v>924.4</v>
      </c>
      <c r="P60" s="5">
        <f t="shared" si="66"/>
        <v>7400.6</v>
      </c>
      <c r="Q60">
        <f t="shared" si="22"/>
        <v>4.8240216588727541E-2</v>
      </c>
      <c r="R60">
        <f t="shared" si="23"/>
        <v>0.79458528181146937</v>
      </c>
      <c r="S60">
        <f t="shared" si="23"/>
        <v>6.1571745015998038</v>
      </c>
      <c r="T60">
        <f t="shared" si="24"/>
        <v>3.9612437094113474E-2</v>
      </c>
      <c r="U60">
        <f t="shared" si="24"/>
        <v>0.72734866044394342</v>
      </c>
      <c r="V60">
        <f t="shared" si="24"/>
        <v>6.2330389024619439</v>
      </c>
      <c r="W60">
        <f t="shared" si="25"/>
        <v>2.0051527170412552E-2</v>
      </c>
      <c r="X60">
        <f t="shared" si="25"/>
        <v>0.67854842537035154</v>
      </c>
      <c r="Y60">
        <f t="shared" si="25"/>
        <v>6.3014000474592358</v>
      </c>
      <c r="Z60">
        <f t="shared" si="26"/>
        <v>3.3331263068546467E-2</v>
      </c>
      <c r="AA60">
        <f t="shared" si="26"/>
        <v>0.5980787942777881</v>
      </c>
      <c r="AB60">
        <f t="shared" si="26"/>
        <v>6.3685899426536654</v>
      </c>
      <c r="AC60">
        <f t="shared" si="27"/>
        <v>6.5471940596887032E-2</v>
      </c>
      <c r="AD60">
        <f t="shared" si="27"/>
        <v>0.77000333190537384</v>
      </c>
      <c r="AE60">
        <f t="shared" si="27"/>
        <v>6.1645247274977395</v>
      </c>
      <c r="AF60">
        <f t="shared" si="28"/>
        <v>0.42727048978587251</v>
      </c>
      <c r="AG60">
        <f t="shared" si="28"/>
        <v>7.0377553531872996</v>
      </c>
      <c r="AH60">
        <f t="shared" si="28"/>
        <v>54.534974157026831</v>
      </c>
      <c r="AI60">
        <f t="shared" si="29"/>
        <v>0.35085301426214793</v>
      </c>
      <c r="AJ60">
        <f t="shared" si="29"/>
        <v>6.4422309925034984</v>
      </c>
      <c r="AK60">
        <f t="shared" si="29"/>
        <v>55.206915993234354</v>
      </c>
      <c r="AL60">
        <f t="shared" si="30"/>
        <v>0.17759924065222546</v>
      </c>
      <c r="AM60">
        <f t="shared" si="30"/>
        <v>6.0100003389945416</v>
      </c>
      <c r="AN60">
        <f t="shared" si="30"/>
        <v>55.812400420353235</v>
      </c>
      <c r="AO60">
        <f t="shared" si="31"/>
        <v>0.29521975860712585</v>
      </c>
      <c r="AP60">
        <f t="shared" si="31"/>
        <v>5.297269320746123</v>
      </c>
      <c r="AQ60">
        <f t="shared" si="31"/>
        <v>56.407510920646757</v>
      </c>
      <c r="AR60">
        <f t="shared" si="32"/>
        <v>0.57989433100099952</v>
      </c>
      <c r="AS60">
        <f t="shared" si="32"/>
        <v>6.8200295111618825</v>
      </c>
      <c r="AT60">
        <f t="shared" si="32"/>
        <v>54.600076157837115</v>
      </c>
      <c r="AU60">
        <f t="shared" si="33"/>
        <v>4.272704897858725E-2</v>
      </c>
      <c r="AV60">
        <f t="shared" si="33"/>
        <v>0.70377553531873005</v>
      </c>
      <c r="AW60">
        <f t="shared" si="33"/>
        <v>5.4534974157026834</v>
      </c>
      <c r="AX60">
        <f t="shared" si="34"/>
        <v>3.5085301426214792E-2</v>
      </c>
      <c r="AY60">
        <f t="shared" si="34"/>
        <v>0.64422309925034993</v>
      </c>
      <c r="AZ60">
        <f t="shared" si="34"/>
        <v>5.5206915993234356</v>
      </c>
      <c r="BA60">
        <f t="shared" si="35"/>
        <v>1.7759924065222546E-2</v>
      </c>
      <c r="BB60">
        <f t="shared" si="35"/>
        <v>0.60100003389945422</v>
      </c>
      <c r="BC60">
        <f t="shared" si="35"/>
        <v>5.5812400420353239</v>
      </c>
      <c r="BD60">
        <f t="shared" si="36"/>
        <v>2.9521975860712587E-2</v>
      </c>
      <c r="BE60">
        <f t="shared" si="36"/>
        <v>0.5297269320746123</v>
      </c>
      <c r="BF60">
        <f t="shared" si="36"/>
        <v>5.6407510920646757</v>
      </c>
      <c r="BG60">
        <f t="shared" si="37"/>
        <v>5.7989433100099949E-2</v>
      </c>
      <c r="BH60">
        <f t="shared" si="37"/>
        <v>0.68200295111618825</v>
      </c>
      <c r="BI60">
        <f t="shared" si="37"/>
        <v>5.4600076157837121</v>
      </c>
      <c r="BJ60">
        <f t="shared" si="38"/>
        <v>19.296086635491015</v>
      </c>
      <c r="BK60">
        <f t="shared" si="50"/>
        <v>317.83411272458773</v>
      </c>
      <c r="BL60">
        <f t="shared" si="39"/>
        <v>2462.8698006399213</v>
      </c>
      <c r="BM60">
        <f t="shared" si="40"/>
        <v>15.84497483764539</v>
      </c>
      <c r="BN60">
        <f t="shared" si="40"/>
        <v>290.93946417757735</v>
      </c>
      <c r="BO60">
        <f t="shared" si="40"/>
        <v>2493.2155609847773</v>
      </c>
      <c r="BP60">
        <f t="shared" si="41"/>
        <v>8.0206108681650203</v>
      </c>
      <c r="BQ60">
        <f t="shared" si="41"/>
        <v>271.41937014814062</v>
      </c>
      <c r="BR60">
        <f t="shared" si="41"/>
        <v>2520.5600189836946</v>
      </c>
      <c r="BS60">
        <f t="shared" si="42"/>
        <v>13.332505227418588</v>
      </c>
      <c r="BT60">
        <f t="shared" si="42"/>
        <v>239.23151771111523</v>
      </c>
      <c r="BU60">
        <f t="shared" si="42"/>
        <v>2547.4359770614665</v>
      </c>
      <c r="BV60">
        <f t="shared" si="43"/>
        <v>26.188776238754816</v>
      </c>
      <c r="BW60">
        <f t="shared" si="43"/>
        <v>308.00133276214956</v>
      </c>
      <c r="BX60">
        <f t="shared" si="43"/>
        <v>2465.8098909990958</v>
      </c>
    </row>
    <row r="61" spans="1:76" x14ac:dyDescent="0.35">
      <c r="A61">
        <v>2082</v>
      </c>
      <c r="B61" s="5">
        <v>56</v>
      </c>
      <c r="C61" s="5">
        <f t="shared" si="65"/>
        <v>909.8</v>
      </c>
      <c r="D61" s="5">
        <f t="shared" si="65"/>
        <v>7116.2000000000007</v>
      </c>
      <c r="E61" s="5">
        <f t="shared" si="65"/>
        <v>54.400000000000006</v>
      </c>
      <c r="F61" s="5">
        <f t="shared" si="66"/>
        <v>984.40000000000009</v>
      </c>
      <c r="G61" s="5">
        <f t="shared" si="66"/>
        <v>8524.7999999999993</v>
      </c>
      <c r="H61" s="5">
        <f t="shared" si="66"/>
        <v>33.599999999999994</v>
      </c>
      <c r="I61" s="5">
        <f t="shared" si="66"/>
        <v>1138.5999999999999</v>
      </c>
      <c r="J61" s="5">
        <f t="shared" si="66"/>
        <v>10679</v>
      </c>
      <c r="K61" s="5">
        <f t="shared" si="66"/>
        <v>46</v>
      </c>
      <c r="L61" s="5">
        <f t="shared" si="66"/>
        <v>811.8</v>
      </c>
      <c r="M61" s="5">
        <f t="shared" si="66"/>
        <v>8798.4000000000015</v>
      </c>
      <c r="N61" s="5">
        <f t="shared" si="66"/>
        <v>79.199999999999989</v>
      </c>
      <c r="O61" s="5">
        <f t="shared" si="66"/>
        <v>911.8</v>
      </c>
      <c r="P61" s="5">
        <f t="shared" si="66"/>
        <v>7377.2000000000007</v>
      </c>
      <c r="Q61">
        <f t="shared" si="22"/>
        <v>4.8502845830240032E-2</v>
      </c>
      <c r="R61">
        <f t="shared" si="23"/>
        <v>0.78799802029200672</v>
      </c>
      <c r="S61">
        <f t="shared" si="23"/>
        <v>6.1634991338777532</v>
      </c>
      <c r="T61">
        <f t="shared" si="24"/>
        <v>3.9817641892174509E-2</v>
      </c>
      <c r="U61">
        <f t="shared" si="24"/>
        <v>0.72052365218118719</v>
      </c>
      <c r="V61">
        <f t="shared" si="24"/>
        <v>6.2396587059266384</v>
      </c>
      <c r="W61">
        <f t="shared" si="25"/>
        <v>1.9846091535034423E-2</v>
      </c>
      <c r="X61">
        <f t="shared" si="25"/>
        <v>0.67252261374375588</v>
      </c>
      <c r="Y61">
        <f t="shared" si="25"/>
        <v>6.3076312947212099</v>
      </c>
      <c r="Z61">
        <f t="shared" si="26"/>
        <v>3.3346450984859465E-2</v>
      </c>
      <c r="AA61">
        <f t="shared" si="26"/>
        <v>0.58849236759801982</v>
      </c>
      <c r="AB61">
        <f t="shared" si="26"/>
        <v>6.3781611814171217</v>
      </c>
      <c r="AC61">
        <f t="shared" si="27"/>
        <v>6.6250806625080649E-2</v>
      </c>
      <c r="AD61">
        <f t="shared" si="27"/>
        <v>0.76272077627207746</v>
      </c>
      <c r="AE61">
        <f t="shared" si="27"/>
        <v>6.1710284171028418</v>
      </c>
      <c r="AF61">
        <f t="shared" si="28"/>
        <v>0.42959663449641172</v>
      </c>
      <c r="AG61">
        <f t="shared" si="28"/>
        <v>6.9794110368720599</v>
      </c>
      <c r="AH61">
        <f t="shared" si="28"/>
        <v>54.590992328631529</v>
      </c>
      <c r="AI61">
        <f t="shared" si="29"/>
        <v>0.35267054247354562</v>
      </c>
      <c r="AJ61">
        <f t="shared" si="29"/>
        <v>6.3817809193190866</v>
      </c>
      <c r="AK61">
        <f t="shared" si="29"/>
        <v>55.265548538207369</v>
      </c>
      <c r="AL61">
        <f t="shared" si="30"/>
        <v>0.17577966788173346</v>
      </c>
      <c r="AM61">
        <f t="shared" si="30"/>
        <v>5.956628864587552</v>
      </c>
      <c r="AN61">
        <f t="shared" si="30"/>
        <v>55.867591467530715</v>
      </c>
      <c r="AO61">
        <f t="shared" si="31"/>
        <v>0.29535428015161241</v>
      </c>
      <c r="AP61">
        <f t="shared" si="31"/>
        <v>5.21236097015389</v>
      </c>
      <c r="AQ61">
        <f t="shared" si="31"/>
        <v>56.492284749694505</v>
      </c>
      <c r="AR61">
        <f t="shared" si="32"/>
        <v>0.58679285867928577</v>
      </c>
      <c r="AS61">
        <f t="shared" si="32"/>
        <v>6.7555268755526861</v>
      </c>
      <c r="AT61">
        <f t="shared" si="32"/>
        <v>54.657680265768029</v>
      </c>
      <c r="AU61">
        <f t="shared" si="33"/>
        <v>4.2959663449641174E-2</v>
      </c>
      <c r="AV61">
        <f t="shared" si="33"/>
        <v>0.69794110368720597</v>
      </c>
      <c r="AW61">
        <f t="shared" si="33"/>
        <v>5.4590992328631529</v>
      </c>
      <c r="AX61">
        <f t="shared" si="34"/>
        <v>3.5267054247354566E-2</v>
      </c>
      <c r="AY61">
        <f t="shared" si="34"/>
        <v>0.63817809193190866</v>
      </c>
      <c r="AZ61">
        <f t="shared" si="34"/>
        <v>5.5265548538207376</v>
      </c>
      <c r="BA61">
        <f t="shared" si="35"/>
        <v>1.7577966788173346E-2</v>
      </c>
      <c r="BB61">
        <f t="shared" si="35"/>
        <v>0.5956628864587552</v>
      </c>
      <c r="BC61">
        <f t="shared" si="35"/>
        <v>5.5867591467530717</v>
      </c>
      <c r="BD61">
        <f t="shared" si="36"/>
        <v>2.9535428015161239E-2</v>
      </c>
      <c r="BE61">
        <f t="shared" si="36"/>
        <v>0.52123609701538898</v>
      </c>
      <c r="BF61">
        <f t="shared" si="36"/>
        <v>5.6492284749694504</v>
      </c>
      <c r="BG61">
        <f t="shared" si="37"/>
        <v>5.8679285867928574E-2</v>
      </c>
      <c r="BH61">
        <f t="shared" si="37"/>
        <v>0.67555268755526865</v>
      </c>
      <c r="BI61">
        <f t="shared" si="37"/>
        <v>5.4657680265768027</v>
      </c>
      <c r="BJ61">
        <f t="shared" si="38"/>
        <v>19.401138332096014</v>
      </c>
      <c r="BK61">
        <f t="shared" si="50"/>
        <v>315.19920811680271</v>
      </c>
      <c r="BL61">
        <f t="shared" si="39"/>
        <v>2465.3996535511014</v>
      </c>
      <c r="BM61">
        <f t="shared" si="40"/>
        <v>15.927056756869803</v>
      </c>
      <c r="BN61">
        <f t="shared" si="40"/>
        <v>288.20946087247489</v>
      </c>
      <c r="BO61">
        <f t="shared" si="40"/>
        <v>2495.8634823706557</v>
      </c>
      <c r="BP61">
        <f t="shared" si="41"/>
        <v>7.9384366140137699</v>
      </c>
      <c r="BQ61">
        <f t="shared" si="41"/>
        <v>269.00904549750231</v>
      </c>
      <c r="BR61">
        <f t="shared" si="41"/>
        <v>2523.0525178884836</v>
      </c>
      <c r="BS61">
        <f t="shared" si="42"/>
        <v>13.338580393943786</v>
      </c>
      <c r="BT61">
        <f t="shared" si="42"/>
        <v>235.39694703920793</v>
      </c>
      <c r="BU61">
        <f t="shared" si="42"/>
        <v>2551.2644725668488</v>
      </c>
      <c r="BV61">
        <f t="shared" si="43"/>
        <v>26.50032265003226</v>
      </c>
      <c r="BW61">
        <f t="shared" si="43"/>
        <v>305.088310508831</v>
      </c>
      <c r="BX61">
        <f t="shared" si="43"/>
        <v>2468.4113668411369</v>
      </c>
    </row>
    <row r="62" spans="1:76" x14ac:dyDescent="0.35">
      <c r="A62">
        <v>2083</v>
      </c>
      <c r="B62" s="5">
        <v>56</v>
      </c>
      <c r="C62" s="5">
        <f t="shared" si="65"/>
        <v>897.19999999999993</v>
      </c>
      <c r="D62" s="5">
        <f t="shared" si="65"/>
        <v>7084.8000000000011</v>
      </c>
      <c r="E62" s="5">
        <f t="shared" si="65"/>
        <v>54.600000000000009</v>
      </c>
      <c r="F62" s="5">
        <f t="shared" si="66"/>
        <v>973.60000000000014</v>
      </c>
      <c r="G62" s="5">
        <f t="shared" si="66"/>
        <v>8521.1999999999989</v>
      </c>
      <c r="H62" s="5">
        <f t="shared" si="66"/>
        <v>33.399999999999991</v>
      </c>
      <c r="I62" s="5">
        <f t="shared" si="66"/>
        <v>1133.3999999999999</v>
      </c>
      <c r="J62" s="5">
        <f t="shared" si="66"/>
        <v>10736</v>
      </c>
      <c r="K62" s="5">
        <f t="shared" si="66"/>
        <v>46</v>
      </c>
      <c r="L62" s="5">
        <f t="shared" si="66"/>
        <v>798.19999999999993</v>
      </c>
      <c r="M62" s="5">
        <f t="shared" si="66"/>
        <v>8807.6000000000022</v>
      </c>
      <c r="N62" s="5">
        <f t="shared" si="66"/>
        <v>79.799999999999983</v>
      </c>
      <c r="O62" s="5">
        <f t="shared" si="66"/>
        <v>899.19999999999993</v>
      </c>
      <c r="P62" s="5">
        <f t="shared" si="66"/>
        <v>7353.8000000000011</v>
      </c>
      <c r="Q62">
        <f t="shared" si="22"/>
        <v>4.8768350335904445E-2</v>
      </c>
      <c r="R62">
        <f t="shared" si="23"/>
        <v>0.78133864145309762</v>
      </c>
      <c r="S62">
        <f t="shared" si="23"/>
        <v>6.1698930082109982</v>
      </c>
      <c r="T62">
        <f t="shared" si="24"/>
        <v>4.0023456971118608E-2</v>
      </c>
      <c r="U62">
        <f t="shared" si="24"/>
        <v>0.71367834628353632</v>
      </c>
      <c r="V62">
        <f t="shared" si="24"/>
        <v>6.2462981967453448</v>
      </c>
      <c r="W62">
        <f t="shared" si="25"/>
        <v>1.9642437073629733E-2</v>
      </c>
      <c r="X62">
        <f t="shared" si="25"/>
        <v>0.66654904728299214</v>
      </c>
      <c r="Y62">
        <f t="shared" si="25"/>
        <v>6.3138085156433785</v>
      </c>
      <c r="Z62">
        <f t="shared" si="26"/>
        <v>3.3361652748710072E-2</v>
      </c>
      <c r="AA62">
        <f t="shared" si="26"/>
        <v>0.57889720052218219</v>
      </c>
      <c r="AB62">
        <f t="shared" si="26"/>
        <v>6.3877411467291072</v>
      </c>
      <c r="AC62">
        <f t="shared" si="27"/>
        <v>6.7036290322580627E-2</v>
      </c>
      <c r="AD62">
        <f t="shared" si="27"/>
        <v>0.75537634408602139</v>
      </c>
      <c r="AE62">
        <f t="shared" si="27"/>
        <v>6.177587365591398</v>
      </c>
      <c r="AF62">
        <f t="shared" si="28"/>
        <v>0.43194824583229652</v>
      </c>
      <c r="AG62">
        <f t="shared" si="28"/>
        <v>6.9204279671560078</v>
      </c>
      <c r="AH62">
        <f t="shared" si="28"/>
        <v>54.647623787011703</v>
      </c>
      <c r="AI62">
        <f t="shared" si="29"/>
        <v>0.35449347602990772</v>
      </c>
      <c r="AJ62">
        <f t="shared" si="29"/>
        <v>6.3211510670827504</v>
      </c>
      <c r="AK62">
        <f t="shared" si="29"/>
        <v>55.324355456887339</v>
      </c>
      <c r="AL62">
        <f t="shared" si="30"/>
        <v>0.17397587122357763</v>
      </c>
      <c r="AM62">
        <f t="shared" si="30"/>
        <v>5.9037201330779308</v>
      </c>
      <c r="AN62">
        <f t="shared" si="30"/>
        <v>55.922303995698499</v>
      </c>
      <c r="AO62">
        <f t="shared" si="31"/>
        <v>0.29548892434571783</v>
      </c>
      <c r="AP62">
        <f t="shared" si="31"/>
        <v>5.127375204625042</v>
      </c>
      <c r="AQ62">
        <f t="shared" si="31"/>
        <v>56.577135871029235</v>
      </c>
      <c r="AR62">
        <f t="shared" si="32"/>
        <v>0.59374999999999978</v>
      </c>
      <c r="AS62">
        <f t="shared" si="32"/>
        <v>6.6904761904761889</v>
      </c>
      <c r="AT62">
        <f t="shared" si="32"/>
        <v>54.71577380952381</v>
      </c>
      <c r="AU62">
        <f t="shared" si="33"/>
        <v>4.3194824583229652E-2</v>
      </c>
      <c r="AV62">
        <f t="shared" si="33"/>
        <v>0.69204279671560076</v>
      </c>
      <c r="AW62">
        <f t="shared" si="33"/>
        <v>5.4647623787011703</v>
      </c>
      <c r="AX62">
        <f t="shared" si="34"/>
        <v>3.5449347602990768E-2</v>
      </c>
      <c r="AY62">
        <f t="shared" si="34"/>
        <v>0.63211510670827509</v>
      </c>
      <c r="AZ62">
        <f t="shared" si="34"/>
        <v>5.5324355456887337</v>
      </c>
      <c r="BA62">
        <f t="shared" si="35"/>
        <v>1.7397587122357762E-2</v>
      </c>
      <c r="BB62">
        <f t="shared" si="35"/>
        <v>0.5903720133077931</v>
      </c>
      <c r="BC62">
        <f t="shared" si="35"/>
        <v>5.5922303995698499</v>
      </c>
      <c r="BD62">
        <f t="shared" si="36"/>
        <v>2.9548892434571782E-2</v>
      </c>
      <c r="BE62">
        <f t="shared" si="36"/>
        <v>0.5127375204625042</v>
      </c>
      <c r="BF62">
        <f t="shared" si="36"/>
        <v>5.6577135871029238</v>
      </c>
      <c r="BG62">
        <f t="shared" si="37"/>
        <v>5.9374999999999983E-2</v>
      </c>
      <c r="BH62">
        <f t="shared" si="37"/>
        <v>0.669047619047619</v>
      </c>
      <c r="BI62">
        <f t="shared" si="37"/>
        <v>5.4715773809523807</v>
      </c>
      <c r="BJ62">
        <f t="shared" si="38"/>
        <v>19.50734013436178</v>
      </c>
      <c r="BK62">
        <f t="shared" si="50"/>
        <v>312.53545658123909</v>
      </c>
      <c r="BL62">
        <f t="shared" si="39"/>
        <v>2467.9572032843994</v>
      </c>
      <c r="BM62">
        <f t="shared" si="40"/>
        <v>16.009382788447443</v>
      </c>
      <c r="BN62">
        <f t="shared" si="40"/>
        <v>285.47133851341454</v>
      </c>
      <c r="BO62">
        <f t="shared" si="40"/>
        <v>2498.5192786981379</v>
      </c>
      <c r="BP62">
        <f t="shared" si="41"/>
        <v>7.8569748294518931</v>
      </c>
      <c r="BQ62">
        <f t="shared" si="41"/>
        <v>266.61961891319686</v>
      </c>
      <c r="BR62">
        <f t="shared" si="41"/>
        <v>2525.5234062573513</v>
      </c>
      <c r="BS62">
        <f t="shared" si="42"/>
        <v>13.34466109948403</v>
      </c>
      <c r="BT62">
        <f t="shared" si="42"/>
        <v>231.55888020887286</v>
      </c>
      <c r="BU62">
        <f t="shared" si="42"/>
        <v>2555.096458691643</v>
      </c>
      <c r="BV62">
        <f t="shared" si="43"/>
        <v>26.814516129032249</v>
      </c>
      <c r="BW62">
        <f t="shared" si="43"/>
        <v>302.15053763440852</v>
      </c>
      <c r="BX62">
        <f t="shared" si="43"/>
        <v>2471.0349462365589</v>
      </c>
    </row>
    <row r="63" spans="1:76" x14ac:dyDescent="0.35">
      <c r="A63">
        <v>2084</v>
      </c>
      <c r="B63" s="5">
        <v>56</v>
      </c>
      <c r="C63" s="5">
        <f t="shared" si="65"/>
        <v>884.59999999999991</v>
      </c>
      <c r="D63" s="5">
        <f t="shared" si="65"/>
        <v>7053.4000000000015</v>
      </c>
      <c r="E63" s="5">
        <f t="shared" si="65"/>
        <v>54.800000000000011</v>
      </c>
      <c r="F63" s="5">
        <f t="shared" si="66"/>
        <v>962.80000000000018</v>
      </c>
      <c r="G63" s="5">
        <f t="shared" si="66"/>
        <v>8517.5999999999985</v>
      </c>
      <c r="H63" s="5">
        <f t="shared" si="66"/>
        <v>33.199999999999989</v>
      </c>
      <c r="I63" s="5">
        <f t="shared" si="66"/>
        <v>1128.1999999999998</v>
      </c>
      <c r="J63" s="5">
        <f t="shared" si="66"/>
        <v>10793</v>
      </c>
      <c r="K63" s="5">
        <f t="shared" si="66"/>
        <v>46</v>
      </c>
      <c r="L63" s="5">
        <f t="shared" si="66"/>
        <v>784.59999999999991</v>
      </c>
      <c r="M63" s="5">
        <f t="shared" si="66"/>
        <v>8816.8000000000029</v>
      </c>
      <c r="N63" s="5">
        <f t="shared" si="66"/>
        <v>80.399999999999977</v>
      </c>
      <c r="O63" s="5">
        <f t="shared" si="66"/>
        <v>886.59999999999991</v>
      </c>
      <c r="P63" s="5">
        <f t="shared" si="66"/>
        <v>7330.4000000000015</v>
      </c>
      <c r="Q63">
        <f t="shared" si="22"/>
        <v>4.9036777583187377E-2</v>
      </c>
      <c r="R63">
        <f t="shared" si="23"/>
        <v>0.77460595446584912</v>
      </c>
      <c r="S63">
        <f t="shared" si="23"/>
        <v>6.1763572679509631</v>
      </c>
      <c r="T63">
        <f t="shared" si="24"/>
        <v>4.0229885057471278E-2</v>
      </c>
      <c r="U63">
        <f t="shared" si="24"/>
        <v>0.70681265206812671</v>
      </c>
      <c r="V63">
        <f t="shared" si="24"/>
        <v>6.2529574628744014</v>
      </c>
      <c r="W63">
        <f t="shared" si="25"/>
        <v>1.9440540721408009E-2</v>
      </c>
      <c r="X63">
        <f t="shared" si="25"/>
        <v>0.66062704945459405</v>
      </c>
      <c r="Y63">
        <f t="shared" si="25"/>
        <v>6.3199324098239984</v>
      </c>
      <c r="Z63">
        <f t="shared" si="26"/>
        <v>3.3376868379045119E-2</v>
      </c>
      <c r="AA63">
        <f t="shared" si="26"/>
        <v>0.56929328109127819</v>
      </c>
      <c r="AB63">
        <f t="shared" si="26"/>
        <v>6.3973298505296761</v>
      </c>
      <c r="AC63">
        <f t="shared" si="27"/>
        <v>6.7828476390194486E-2</v>
      </c>
      <c r="AD63">
        <f t="shared" si="27"/>
        <v>0.7479692433774433</v>
      </c>
      <c r="AE63">
        <f t="shared" si="27"/>
        <v>6.1842022802323617</v>
      </c>
      <c r="AF63">
        <f t="shared" si="28"/>
        <v>0.43432574430823107</v>
      </c>
      <c r="AG63">
        <f t="shared" si="28"/>
        <v>6.8607955966975203</v>
      </c>
      <c r="AH63">
        <f t="shared" si="28"/>
        <v>54.704878658994247</v>
      </c>
      <c r="AI63">
        <f t="shared" si="29"/>
        <v>0.35632183908045989</v>
      </c>
      <c r="AJ63">
        <f t="shared" si="29"/>
        <v>6.2603406326034081</v>
      </c>
      <c r="AK63">
        <f t="shared" si="29"/>
        <v>55.383337528316126</v>
      </c>
      <c r="AL63">
        <f t="shared" si="30"/>
        <v>0.17218764638961381</v>
      </c>
      <c r="AM63">
        <f t="shared" si="30"/>
        <v>5.8512681523121186</v>
      </c>
      <c r="AN63">
        <f t="shared" si="30"/>
        <v>55.976544201298267</v>
      </c>
      <c r="AO63">
        <f t="shared" si="31"/>
        <v>0.29562369135725675</v>
      </c>
      <c r="AP63">
        <f t="shared" si="31"/>
        <v>5.0423119182370355</v>
      </c>
      <c r="AQ63">
        <f t="shared" si="31"/>
        <v>56.662064390405703</v>
      </c>
      <c r="AR63">
        <f t="shared" si="32"/>
        <v>0.60076650517029406</v>
      </c>
      <c r="AS63">
        <f t="shared" si="32"/>
        <v>6.6248704413430692</v>
      </c>
      <c r="AT63">
        <f t="shared" si="32"/>
        <v>54.774363053486638</v>
      </c>
      <c r="AU63">
        <f t="shared" si="33"/>
        <v>4.3432574430823108E-2</v>
      </c>
      <c r="AV63">
        <f t="shared" si="33"/>
        <v>0.68607955966975209</v>
      </c>
      <c r="AW63">
        <f t="shared" si="33"/>
        <v>5.4704878658994245</v>
      </c>
      <c r="AX63">
        <f t="shared" si="34"/>
        <v>3.563218390804599E-2</v>
      </c>
      <c r="AY63">
        <f t="shared" si="34"/>
        <v>0.62603406326034083</v>
      </c>
      <c r="AZ63">
        <f t="shared" si="34"/>
        <v>5.5383337528316128</v>
      </c>
      <c r="BA63">
        <f t="shared" si="35"/>
        <v>1.7218764638961381E-2</v>
      </c>
      <c r="BB63">
        <f t="shared" si="35"/>
        <v>0.58512681523121191</v>
      </c>
      <c r="BC63">
        <f t="shared" si="35"/>
        <v>5.5976544201298273</v>
      </c>
      <c r="BD63">
        <f t="shared" si="36"/>
        <v>2.9562369135725675E-2</v>
      </c>
      <c r="BE63">
        <f t="shared" si="36"/>
        <v>0.50423119182370357</v>
      </c>
      <c r="BF63">
        <f t="shared" si="36"/>
        <v>5.66620643904057</v>
      </c>
      <c r="BG63">
        <f t="shared" si="37"/>
        <v>6.0076650517029408E-2</v>
      </c>
      <c r="BH63">
        <f t="shared" si="37"/>
        <v>0.66248704413430692</v>
      </c>
      <c r="BI63">
        <f t="shared" si="37"/>
        <v>5.4774363053486637</v>
      </c>
      <c r="BJ63">
        <f t="shared" si="38"/>
        <v>19.614711033274951</v>
      </c>
      <c r="BK63">
        <f t="shared" si="50"/>
        <v>309.84238178633962</v>
      </c>
      <c r="BL63">
        <f t="shared" si="39"/>
        <v>2470.5429071803856</v>
      </c>
      <c r="BM63">
        <f t="shared" si="40"/>
        <v>16.09195402298851</v>
      </c>
      <c r="BN63">
        <f t="shared" si="40"/>
        <v>282.72506082725067</v>
      </c>
      <c r="BO63">
        <f t="shared" si="40"/>
        <v>2501.1829851497605</v>
      </c>
      <c r="BP63">
        <f t="shared" si="41"/>
        <v>7.7762162885632042</v>
      </c>
      <c r="BQ63">
        <f t="shared" si="41"/>
        <v>264.25081978183761</v>
      </c>
      <c r="BR63">
        <f t="shared" si="41"/>
        <v>2527.9729639295992</v>
      </c>
      <c r="BS63">
        <f t="shared" si="42"/>
        <v>13.350747351618047</v>
      </c>
      <c r="BT63">
        <f t="shared" si="42"/>
        <v>227.71731243651129</v>
      </c>
      <c r="BU63">
        <f t="shared" si="42"/>
        <v>2558.9319402118704</v>
      </c>
      <c r="BV63">
        <f t="shared" si="43"/>
        <v>27.131390556077797</v>
      </c>
      <c r="BW63">
        <f t="shared" si="43"/>
        <v>299.18769735097732</v>
      </c>
      <c r="BX63">
        <f t="shared" si="43"/>
        <v>2473.6809120929447</v>
      </c>
    </row>
    <row r="64" spans="1:76" x14ac:dyDescent="0.35">
      <c r="A64">
        <v>2085</v>
      </c>
      <c r="B64" s="5">
        <v>56</v>
      </c>
      <c r="C64" s="5">
        <v>872</v>
      </c>
      <c r="D64" s="5">
        <v>7022</v>
      </c>
      <c r="E64" s="5">
        <v>55</v>
      </c>
      <c r="F64" s="5">
        <v>952</v>
      </c>
      <c r="G64" s="5">
        <v>8514</v>
      </c>
      <c r="H64" s="5">
        <v>33</v>
      </c>
      <c r="I64" s="5">
        <v>1123</v>
      </c>
      <c r="J64" s="5">
        <v>10850</v>
      </c>
      <c r="K64" s="5">
        <v>46</v>
      </c>
      <c r="L64" s="5">
        <v>771</v>
      </c>
      <c r="M64" s="5">
        <v>8826</v>
      </c>
      <c r="N64" s="5">
        <v>81</v>
      </c>
      <c r="O64" s="5">
        <v>874</v>
      </c>
      <c r="P64" s="5">
        <v>7307</v>
      </c>
      <c r="Q64">
        <f t="shared" si="22"/>
        <v>4.9308176100628931E-2</v>
      </c>
      <c r="R64">
        <f t="shared" si="23"/>
        <v>0.76779874213836474</v>
      </c>
      <c r="S64">
        <f t="shared" si="23"/>
        <v>6.1828930817610059</v>
      </c>
      <c r="T64">
        <f t="shared" si="24"/>
        <v>4.0436928894023734E-2</v>
      </c>
      <c r="U64">
        <f t="shared" si="24"/>
        <v>0.69992647831110177</v>
      </c>
      <c r="V64">
        <f t="shared" si="24"/>
        <v>6.2596365927948741</v>
      </c>
      <c r="W64">
        <f t="shared" si="25"/>
        <v>1.9240379810094951E-2</v>
      </c>
      <c r="X64">
        <f t="shared" si="25"/>
        <v>0.65475595535565545</v>
      </c>
      <c r="Y64">
        <f t="shared" si="25"/>
        <v>6.326003664834249</v>
      </c>
      <c r="Z64">
        <f t="shared" si="26"/>
        <v>3.3392097894845998E-2</v>
      </c>
      <c r="AA64">
        <f t="shared" si="26"/>
        <v>0.55968059732448416</v>
      </c>
      <c r="AB64">
        <f t="shared" si="26"/>
        <v>6.4069273047806696</v>
      </c>
      <c r="AC64">
        <f t="shared" si="27"/>
        <v>6.8627450980392163E-2</v>
      </c>
      <c r="AD64">
        <f t="shared" si="27"/>
        <v>0.74049866860324376</v>
      </c>
      <c r="AE64">
        <f t="shared" si="27"/>
        <v>6.1908738804163645</v>
      </c>
      <c r="AF64">
        <f t="shared" si="28"/>
        <v>0.43672955974842764</v>
      </c>
      <c r="AG64">
        <f t="shared" si="28"/>
        <v>6.8005031446540878</v>
      </c>
      <c r="AH64">
        <f t="shared" si="28"/>
        <v>54.762767295597484</v>
      </c>
      <c r="AI64">
        <f t="shared" si="29"/>
        <v>0.35815565591849596</v>
      </c>
      <c r="AJ64">
        <f t="shared" si="29"/>
        <v>6.1993488078983301</v>
      </c>
      <c r="AK64">
        <f t="shared" si="29"/>
        <v>55.442495536183173</v>
      </c>
      <c r="AL64">
        <f t="shared" si="30"/>
        <v>0.17041479260369816</v>
      </c>
      <c r="AM64">
        <f t="shared" si="30"/>
        <v>5.799267033150092</v>
      </c>
      <c r="AN64">
        <f t="shared" si="30"/>
        <v>56.030318174246212</v>
      </c>
      <c r="AO64">
        <f t="shared" si="31"/>
        <v>0.29575858135435029</v>
      </c>
      <c r="AP64">
        <f t="shared" si="31"/>
        <v>4.9571710048740023</v>
      </c>
      <c r="AQ64">
        <f t="shared" si="31"/>
        <v>56.747070413771645</v>
      </c>
      <c r="AR64">
        <f t="shared" si="32"/>
        <v>0.60784313725490191</v>
      </c>
      <c r="AS64">
        <f t="shared" si="32"/>
        <v>6.5587024933430165</v>
      </c>
      <c r="AT64">
        <f t="shared" si="32"/>
        <v>54.833454369402084</v>
      </c>
      <c r="AU64">
        <f t="shared" si="33"/>
        <v>4.3672955974842768E-2</v>
      </c>
      <c r="AV64">
        <f t="shared" si="33"/>
        <v>0.68005031446540887</v>
      </c>
      <c r="AW64">
        <f t="shared" si="33"/>
        <v>5.4762767295597481</v>
      </c>
      <c r="AX64">
        <f t="shared" si="34"/>
        <v>3.5815565591849598E-2</v>
      </c>
      <c r="AY64">
        <f t="shared" si="34"/>
        <v>0.61993488078983305</v>
      </c>
      <c r="AZ64">
        <f t="shared" si="34"/>
        <v>5.5442495536183172</v>
      </c>
      <c r="BA64">
        <f t="shared" si="35"/>
        <v>1.7041479260369814E-2</v>
      </c>
      <c r="BB64">
        <f t="shared" si="35"/>
        <v>0.57992670331500917</v>
      </c>
      <c r="BC64">
        <f t="shared" si="35"/>
        <v>5.603031817424621</v>
      </c>
      <c r="BD64">
        <f t="shared" si="36"/>
        <v>2.9575858135435028E-2</v>
      </c>
      <c r="BE64">
        <f t="shared" si="36"/>
        <v>0.49571710048740025</v>
      </c>
      <c r="BF64">
        <f t="shared" si="36"/>
        <v>5.6747070413771645</v>
      </c>
      <c r="BG64">
        <f t="shared" si="37"/>
        <v>6.0784313725490195E-2</v>
      </c>
      <c r="BH64">
        <f t="shared" si="37"/>
        <v>0.6558702493343016</v>
      </c>
      <c r="BI64">
        <f t="shared" si="37"/>
        <v>5.4833454369402084</v>
      </c>
      <c r="BJ64">
        <f t="shared" si="38"/>
        <v>19.723270440251572</v>
      </c>
      <c r="BK64">
        <f t="shared" si="50"/>
        <v>307.11949685534591</v>
      </c>
      <c r="BL64">
        <f t="shared" si="39"/>
        <v>2473.1572327044023</v>
      </c>
      <c r="BM64">
        <f t="shared" si="40"/>
        <v>16.174771557609493</v>
      </c>
      <c r="BN64">
        <f t="shared" si="40"/>
        <v>279.9705913244407</v>
      </c>
      <c r="BO64">
        <f t="shared" si="40"/>
        <v>2503.8546371179496</v>
      </c>
      <c r="BP64">
        <f t="shared" si="41"/>
        <v>7.6961519240379808</v>
      </c>
      <c r="BQ64">
        <f t="shared" si="41"/>
        <v>261.90238214226218</v>
      </c>
      <c r="BR64">
        <f t="shared" si="41"/>
        <v>2530.4014659336999</v>
      </c>
      <c r="BS64">
        <f t="shared" si="42"/>
        <v>13.356839157938399</v>
      </c>
      <c r="BT64">
        <f t="shared" si="42"/>
        <v>223.87223892979364</v>
      </c>
      <c r="BU64">
        <f t="shared" si="42"/>
        <v>2562.770921912268</v>
      </c>
      <c r="BV64">
        <f t="shared" si="43"/>
        <v>27.450980392156861</v>
      </c>
      <c r="BW64">
        <f t="shared" si="43"/>
        <v>296.19946744129749</v>
      </c>
      <c r="BX64">
        <f t="shared" si="43"/>
        <v>2476.3495521665459</v>
      </c>
    </row>
    <row r="65" spans="1:76" x14ac:dyDescent="0.35">
      <c r="A65">
        <v>2086</v>
      </c>
      <c r="B65" s="5">
        <v>56</v>
      </c>
      <c r="C65" s="5">
        <f>C64+((C$69-C$64)/5)</f>
        <v>859.4</v>
      </c>
      <c r="D65" s="5">
        <f t="shared" ref="D65:P68" si="67">D64+((D$69-D$64)/5)</f>
        <v>6984.6</v>
      </c>
      <c r="E65" s="5">
        <f t="shared" si="67"/>
        <v>55</v>
      </c>
      <c r="F65" s="5">
        <f t="shared" si="67"/>
        <v>942</v>
      </c>
      <c r="G65" s="5">
        <f t="shared" si="67"/>
        <v>8506.4</v>
      </c>
      <c r="H65" s="5">
        <f t="shared" si="67"/>
        <v>32.799999999999997</v>
      </c>
      <c r="I65" s="5">
        <f t="shared" si="67"/>
        <v>1119.2</v>
      </c>
      <c r="J65" s="5">
        <f t="shared" si="67"/>
        <v>10905.6</v>
      </c>
      <c r="K65" s="5">
        <f t="shared" si="67"/>
        <v>45.8</v>
      </c>
      <c r="L65" s="5">
        <f t="shared" si="67"/>
        <v>758.2</v>
      </c>
      <c r="M65" s="5">
        <f t="shared" si="67"/>
        <v>8832</v>
      </c>
      <c r="N65" s="5">
        <f t="shared" si="67"/>
        <v>81.400000000000006</v>
      </c>
      <c r="O65" s="5">
        <f t="shared" si="67"/>
        <v>861.6</v>
      </c>
      <c r="P65" s="5">
        <f t="shared" si="67"/>
        <v>7278.2</v>
      </c>
      <c r="Q65">
        <f t="shared" si="22"/>
        <v>4.9620253164556961E-2</v>
      </c>
      <c r="R65">
        <f t="shared" si="23"/>
        <v>0.761493670886076</v>
      </c>
      <c r="S65">
        <f t="shared" si="23"/>
        <v>6.1888860759493678</v>
      </c>
      <c r="T65">
        <f t="shared" si="24"/>
        <v>4.0511816823452659E-2</v>
      </c>
      <c r="U65">
        <f t="shared" si="24"/>
        <v>0.69385693541258919</v>
      </c>
      <c r="V65">
        <f t="shared" si="24"/>
        <v>6.2656312477639577</v>
      </c>
      <c r="W65">
        <f t="shared" si="25"/>
        <v>1.9041932059447982E-2</v>
      </c>
      <c r="X65">
        <f t="shared" si="25"/>
        <v>0.64974787685774948</v>
      </c>
      <c r="Y65">
        <f t="shared" si="25"/>
        <v>6.3312101910828025</v>
      </c>
      <c r="Z65">
        <f t="shared" si="26"/>
        <v>3.3271066832710666E-2</v>
      </c>
      <c r="AA65">
        <f t="shared" si="26"/>
        <v>0.55078870900788712</v>
      </c>
      <c r="AB65">
        <f t="shared" si="26"/>
        <v>6.4159402241594021</v>
      </c>
      <c r="AC65">
        <f t="shared" si="27"/>
        <v>6.9308616746946911E-2</v>
      </c>
      <c r="AD65">
        <f t="shared" si="27"/>
        <v>0.73361553057947748</v>
      </c>
      <c r="AE65">
        <f t="shared" si="27"/>
        <v>6.1970758526735752</v>
      </c>
      <c r="AF65">
        <f t="shared" si="28"/>
        <v>0.43949367088607594</v>
      </c>
      <c r="AG65">
        <f t="shared" si="28"/>
        <v>6.7446582278481015</v>
      </c>
      <c r="AH65">
        <f t="shared" si="28"/>
        <v>54.815848101265829</v>
      </c>
      <c r="AI65">
        <f t="shared" si="29"/>
        <v>0.35881894900772354</v>
      </c>
      <c r="AJ65">
        <f t="shared" si="29"/>
        <v>6.1455899993686476</v>
      </c>
      <c r="AK65">
        <f t="shared" si="29"/>
        <v>55.495591051623627</v>
      </c>
      <c r="AL65">
        <f t="shared" si="30"/>
        <v>0.16865711252653925</v>
      </c>
      <c r="AM65">
        <f t="shared" si="30"/>
        <v>5.754909766454352</v>
      </c>
      <c r="AN65">
        <f t="shared" si="30"/>
        <v>56.076433121019107</v>
      </c>
      <c r="AO65">
        <f t="shared" si="31"/>
        <v>0.29468659194686586</v>
      </c>
      <c r="AP65">
        <f t="shared" si="31"/>
        <v>4.8784142797841428</v>
      </c>
      <c r="AQ65">
        <f t="shared" si="31"/>
        <v>56.826899128268991</v>
      </c>
      <c r="AR65">
        <f t="shared" si="32"/>
        <v>0.61387631975867274</v>
      </c>
      <c r="AS65">
        <f t="shared" si="32"/>
        <v>6.497737556561086</v>
      </c>
      <c r="AT65">
        <f t="shared" si="32"/>
        <v>54.888386123680242</v>
      </c>
      <c r="AU65">
        <f t="shared" si="33"/>
        <v>4.3949367088607597E-2</v>
      </c>
      <c r="AV65">
        <f t="shared" si="33"/>
        <v>0.67446582278481015</v>
      </c>
      <c r="AW65">
        <f t="shared" si="33"/>
        <v>5.4815848101265825</v>
      </c>
      <c r="AX65">
        <f t="shared" si="34"/>
        <v>3.5881894900772357E-2</v>
      </c>
      <c r="AY65">
        <f t="shared" si="34"/>
        <v>0.61455899993686469</v>
      </c>
      <c r="AZ65">
        <f t="shared" si="34"/>
        <v>5.5495591051623627</v>
      </c>
      <c r="BA65">
        <f t="shared" si="35"/>
        <v>1.6865711252653928E-2</v>
      </c>
      <c r="BB65">
        <f t="shared" si="35"/>
        <v>0.57549097664543525</v>
      </c>
      <c r="BC65">
        <f t="shared" si="35"/>
        <v>5.6076433121019109</v>
      </c>
      <c r="BD65">
        <f t="shared" si="36"/>
        <v>2.9468659194686591E-2</v>
      </c>
      <c r="BE65">
        <f t="shared" si="36"/>
        <v>0.48784142797841429</v>
      </c>
      <c r="BF65">
        <f t="shared" si="36"/>
        <v>5.6826899128268993</v>
      </c>
      <c r="BG65">
        <f t="shared" si="37"/>
        <v>6.1387631975867274E-2</v>
      </c>
      <c r="BH65">
        <f t="shared" si="37"/>
        <v>0.64977375565610862</v>
      </c>
      <c r="BI65">
        <f t="shared" si="37"/>
        <v>5.4888386123680242</v>
      </c>
      <c r="BJ65">
        <f t="shared" si="38"/>
        <v>19.848101265822784</v>
      </c>
      <c r="BK65">
        <f t="shared" si="50"/>
        <v>304.59746835443036</v>
      </c>
      <c r="BL65">
        <f t="shared" si="39"/>
        <v>2475.5544303797469</v>
      </c>
      <c r="BM65">
        <f t="shared" si="40"/>
        <v>16.204726729381061</v>
      </c>
      <c r="BN65">
        <f t="shared" si="40"/>
        <v>277.54277416503567</v>
      </c>
      <c r="BO65">
        <f t="shared" si="40"/>
        <v>2506.2524991055834</v>
      </c>
      <c r="BP65">
        <f t="shared" si="41"/>
        <v>7.6167728237791925</v>
      </c>
      <c r="BQ65">
        <f t="shared" si="41"/>
        <v>259.89915074309977</v>
      </c>
      <c r="BR65">
        <f t="shared" si="41"/>
        <v>2532.4840764331211</v>
      </c>
      <c r="BS65">
        <f t="shared" si="42"/>
        <v>13.308426733084266</v>
      </c>
      <c r="BT65">
        <f t="shared" si="42"/>
        <v>220.31548360315483</v>
      </c>
      <c r="BU65">
        <f t="shared" si="42"/>
        <v>2566.3760896637609</v>
      </c>
      <c r="BV65">
        <f t="shared" si="43"/>
        <v>27.723446698778766</v>
      </c>
      <c r="BW65">
        <f t="shared" si="43"/>
        <v>293.44621223179098</v>
      </c>
      <c r="BX65">
        <f t="shared" si="43"/>
        <v>2478.8303410694302</v>
      </c>
    </row>
    <row r="66" spans="1:76" x14ac:dyDescent="0.35">
      <c r="A66">
        <v>2087</v>
      </c>
      <c r="B66" s="5">
        <v>56</v>
      </c>
      <c r="C66" s="5">
        <f t="shared" ref="C66:C68" si="68">C65+((C$69-C$64)/5)</f>
        <v>846.8</v>
      </c>
      <c r="D66" s="5">
        <f t="shared" si="67"/>
        <v>6947.2000000000007</v>
      </c>
      <c r="E66" s="5">
        <f t="shared" si="67"/>
        <v>55</v>
      </c>
      <c r="F66" s="5">
        <f t="shared" si="67"/>
        <v>932</v>
      </c>
      <c r="G66" s="5">
        <f t="shared" si="67"/>
        <v>8498.7999999999993</v>
      </c>
      <c r="H66" s="5">
        <f t="shared" si="67"/>
        <v>32.599999999999994</v>
      </c>
      <c r="I66" s="5">
        <f t="shared" si="67"/>
        <v>1115.4000000000001</v>
      </c>
      <c r="J66" s="5">
        <f t="shared" si="67"/>
        <v>10961.2</v>
      </c>
      <c r="K66" s="5">
        <f t="shared" si="67"/>
        <v>45.599999999999994</v>
      </c>
      <c r="L66" s="5">
        <f t="shared" si="67"/>
        <v>745.40000000000009</v>
      </c>
      <c r="M66" s="5">
        <f t="shared" si="67"/>
        <v>8838</v>
      </c>
      <c r="N66" s="5">
        <f t="shared" si="67"/>
        <v>81.800000000000011</v>
      </c>
      <c r="O66" s="5">
        <f t="shared" si="67"/>
        <v>849.2</v>
      </c>
      <c r="P66" s="5">
        <f t="shared" si="67"/>
        <v>7249.4</v>
      </c>
      <c r="Q66">
        <f t="shared" si="22"/>
        <v>4.9936305732484074E-2</v>
      </c>
      <c r="R66">
        <f t="shared" si="23"/>
        <v>0.75510828025477694</v>
      </c>
      <c r="S66">
        <f t="shared" si="23"/>
        <v>6.194955414012739</v>
      </c>
      <c r="T66">
        <f t="shared" si="24"/>
        <v>4.0586982647747162E-2</v>
      </c>
      <c r="U66">
        <f t="shared" si="24"/>
        <v>0.68776486959455185</v>
      </c>
      <c r="V66">
        <f t="shared" si="24"/>
        <v>6.2716481477577011</v>
      </c>
      <c r="W66">
        <f t="shared" si="25"/>
        <v>1.8845175568988862E-2</v>
      </c>
      <c r="X66">
        <f t="shared" si="25"/>
        <v>0.64478247943712219</v>
      </c>
      <c r="Y66">
        <f t="shared" si="25"/>
        <v>6.3363723449938893</v>
      </c>
      <c r="Z66">
        <f t="shared" si="26"/>
        <v>3.3149859798525284E-2</v>
      </c>
      <c r="AA66">
        <f t="shared" si="26"/>
        <v>0.54188389240834978</v>
      </c>
      <c r="AB66">
        <f t="shared" si="26"/>
        <v>6.4249662477931251</v>
      </c>
      <c r="AC66">
        <f t="shared" si="27"/>
        <v>6.9996577184489761E-2</v>
      </c>
      <c r="AD66">
        <f t="shared" si="27"/>
        <v>0.72666373282480079</v>
      </c>
      <c r="AE66">
        <f t="shared" si="27"/>
        <v>6.2033396899907096</v>
      </c>
      <c r="AF66">
        <f t="shared" si="28"/>
        <v>0.44229299363057317</v>
      </c>
      <c r="AG66">
        <f t="shared" si="28"/>
        <v>6.6881019108280251</v>
      </c>
      <c r="AH66">
        <f t="shared" si="28"/>
        <v>54.869605095541402</v>
      </c>
      <c r="AI66">
        <f t="shared" si="29"/>
        <v>0.35948470345147482</v>
      </c>
      <c r="AJ66">
        <f t="shared" si="29"/>
        <v>6.0916317021231743</v>
      </c>
      <c r="AK66">
        <f t="shared" si="29"/>
        <v>55.548883594425348</v>
      </c>
      <c r="AL66">
        <f t="shared" si="30"/>
        <v>0.16691441218247277</v>
      </c>
      <c r="AM66">
        <f t="shared" si="30"/>
        <v>5.7109305321573673</v>
      </c>
      <c r="AN66">
        <f t="shared" si="30"/>
        <v>56.122155055660158</v>
      </c>
      <c r="AO66">
        <f t="shared" si="31"/>
        <v>0.29361304392979537</v>
      </c>
      <c r="AP66">
        <f t="shared" si="31"/>
        <v>4.7995430470453844</v>
      </c>
      <c r="AQ66">
        <f t="shared" si="31"/>
        <v>56.906843909024822</v>
      </c>
      <c r="AR66">
        <f t="shared" si="32"/>
        <v>0.61996968363405225</v>
      </c>
      <c r="AS66">
        <f t="shared" si="32"/>
        <v>6.4361644907339501</v>
      </c>
      <c r="AT66">
        <f t="shared" si="32"/>
        <v>54.943865825631995</v>
      </c>
      <c r="AU66">
        <f t="shared" si="33"/>
        <v>4.422929936305732E-2</v>
      </c>
      <c r="AV66">
        <f t="shared" si="33"/>
        <v>0.66881019108280249</v>
      </c>
      <c r="AW66">
        <f t="shared" si="33"/>
        <v>5.4869605095541401</v>
      </c>
      <c r="AX66">
        <f t="shared" si="34"/>
        <v>3.5948470345147483E-2</v>
      </c>
      <c r="AY66">
        <f t="shared" si="34"/>
        <v>0.60916317021231736</v>
      </c>
      <c r="AZ66">
        <f t="shared" si="34"/>
        <v>5.5548883594425353</v>
      </c>
      <c r="BA66">
        <f t="shared" si="35"/>
        <v>1.6691441218247279E-2</v>
      </c>
      <c r="BB66">
        <f t="shared" si="35"/>
        <v>0.57109305321573678</v>
      </c>
      <c r="BC66">
        <f t="shared" si="35"/>
        <v>5.6122155055660166</v>
      </c>
      <c r="BD66">
        <f t="shared" si="36"/>
        <v>2.9361304392979539E-2</v>
      </c>
      <c r="BE66">
        <f t="shared" si="36"/>
        <v>0.47995430470453843</v>
      </c>
      <c r="BF66">
        <f t="shared" si="36"/>
        <v>5.6906843909024829</v>
      </c>
      <c r="BG66">
        <f t="shared" si="37"/>
        <v>6.1996968363405222E-2</v>
      </c>
      <c r="BH66">
        <f t="shared" si="37"/>
        <v>0.64361644907339499</v>
      </c>
      <c r="BI66">
        <f t="shared" si="37"/>
        <v>5.4943865825631999</v>
      </c>
      <c r="BJ66">
        <f t="shared" si="38"/>
        <v>19.97452229299363</v>
      </c>
      <c r="BK66">
        <f t="shared" si="50"/>
        <v>302.04331210191077</v>
      </c>
      <c r="BL66">
        <f t="shared" si="39"/>
        <v>2477.9821656050954</v>
      </c>
      <c r="BM66">
        <f t="shared" si="40"/>
        <v>16.234793059098862</v>
      </c>
      <c r="BN66">
        <f t="shared" si="40"/>
        <v>275.10594783782074</v>
      </c>
      <c r="BO66">
        <f t="shared" si="40"/>
        <v>2508.6592591030803</v>
      </c>
      <c r="BP66">
        <f t="shared" si="41"/>
        <v>7.5380702275955445</v>
      </c>
      <c r="BQ66">
        <f t="shared" si="41"/>
        <v>257.91299177484888</v>
      </c>
      <c r="BR66">
        <f t="shared" si="41"/>
        <v>2534.5489379975556</v>
      </c>
      <c r="BS66">
        <f t="shared" si="42"/>
        <v>13.259943919410114</v>
      </c>
      <c r="BT66">
        <f t="shared" si="42"/>
        <v>216.75355696333992</v>
      </c>
      <c r="BU66">
        <f t="shared" si="42"/>
        <v>2569.9864991172503</v>
      </c>
      <c r="BV66">
        <f t="shared" si="43"/>
        <v>27.998630873795907</v>
      </c>
      <c r="BW66">
        <f t="shared" si="43"/>
        <v>290.66549312992032</v>
      </c>
      <c r="BX66">
        <f t="shared" si="43"/>
        <v>2481.3358759962839</v>
      </c>
    </row>
    <row r="67" spans="1:76" x14ac:dyDescent="0.35">
      <c r="A67">
        <v>2088</v>
      </c>
      <c r="B67" s="5">
        <v>56</v>
      </c>
      <c r="C67" s="5">
        <f t="shared" si="68"/>
        <v>834.19999999999993</v>
      </c>
      <c r="D67" s="5">
        <f t="shared" si="67"/>
        <v>6909.8000000000011</v>
      </c>
      <c r="E67" s="5">
        <f t="shared" si="67"/>
        <v>55</v>
      </c>
      <c r="F67" s="5">
        <f t="shared" si="67"/>
        <v>922</v>
      </c>
      <c r="G67" s="5">
        <f t="shared" si="67"/>
        <v>8491.1999999999989</v>
      </c>
      <c r="H67" s="5">
        <f t="shared" si="67"/>
        <v>32.399999999999991</v>
      </c>
      <c r="I67" s="5">
        <f t="shared" si="67"/>
        <v>1111.6000000000001</v>
      </c>
      <c r="J67" s="5">
        <f t="shared" si="67"/>
        <v>11016.800000000001</v>
      </c>
      <c r="K67" s="5">
        <f t="shared" si="67"/>
        <v>45.399999999999991</v>
      </c>
      <c r="L67" s="5">
        <f t="shared" si="67"/>
        <v>732.60000000000014</v>
      </c>
      <c r="M67" s="5">
        <f t="shared" si="67"/>
        <v>8844</v>
      </c>
      <c r="N67" s="5">
        <f t="shared" si="67"/>
        <v>82.200000000000017</v>
      </c>
      <c r="O67" s="5">
        <f t="shared" si="67"/>
        <v>836.80000000000007</v>
      </c>
      <c r="P67" s="5">
        <f t="shared" si="67"/>
        <v>7220.5999999999995</v>
      </c>
      <c r="Q67">
        <f t="shared" si="22"/>
        <v>5.0256410256410249E-2</v>
      </c>
      <c r="R67">
        <f t="shared" si="23"/>
        <v>0.74864102564102541</v>
      </c>
      <c r="S67">
        <f t="shared" si="23"/>
        <v>6.2011025641025643</v>
      </c>
      <c r="T67">
        <f t="shared" si="24"/>
        <v>4.0662427916605064E-2</v>
      </c>
      <c r="U67">
        <f t="shared" si="24"/>
        <v>0.68165015525654304</v>
      </c>
      <c r="V67">
        <f t="shared" si="24"/>
        <v>6.2776874168268524</v>
      </c>
      <c r="W67">
        <f t="shared" si="25"/>
        <v>1.8650088809946709E-2</v>
      </c>
      <c r="X67">
        <f t="shared" si="25"/>
        <v>0.63985921978817184</v>
      </c>
      <c r="Y67">
        <f t="shared" si="25"/>
        <v>6.3414906914018818</v>
      </c>
      <c r="Z67">
        <f t="shared" si="26"/>
        <v>3.3028476408231131E-2</v>
      </c>
      <c r="AA67">
        <f t="shared" si="26"/>
        <v>0.53296611930991489</v>
      </c>
      <c r="AB67">
        <f t="shared" si="26"/>
        <v>6.4340054042818542</v>
      </c>
      <c r="AC67">
        <f t="shared" si="27"/>
        <v>7.0691434468524272E-2</v>
      </c>
      <c r="AD67">
        <f t="shared" si="27"/>
        <v>0.71964224286205725</v>
      </c>
      <c r="AE67">
        <f t="shared" si="27"/>
        <v>6.2096663226694186</v>
      </c>
      <c r="AF67">
        <f t="shared" si="28"/>
        <v>0.44512820512820506</v>
      </c>
      <c r="AG67">
        <f t="shared" si="28"/>
        <v>6.6308205128205113</v>
      </c>
      <c r="AH67">
        <f t="shared" si="28"/>
        <v>54.924051282051281</v>
      </c>
      <c r="AI67">
        <f t="shared" si="29"/>
        <v>0.36015293297564482</v>
      </c>
      <c r="AJ67">
        <f t="shared" si="29"/>
        <v>6.0374728037008092</v>
      </c>
      <c r="AK67">
        <f t="shared" si="29"/>
        <v>55.602374263323547</v>
      </c>
      <c r="AL67">
        <f t="shared" si="30"/>
        <v>0.16518650088809941</v>
      </c>
      <c r="AM67">
        <f t="shared" si="30"/>
        <v>5.6673245181238086</v>
      </c>
      <c r="AN67">
        <f t="shared" si="30"/>
        <v>56.16748898098809</v>
      </c>
      <c r="AO67">
        <f t="shared" si="31"/>
        <v>0.29253793390147576</v>
      </c>
      <c r="AP67">
        <f t="shared" si="31"/>
        <v>4.7205570567449611</v>
      </c>
      <c r="AQ67">
        <f t="shared" si="31"/>
        <v>56.986905009353563</v>
      </c>
      <c r="AR67">
        <f t="shared" si="32"/>
        <v>0.62612413386407206</v>
      </c>
      <c r="AS67">
        <f t="shared" si="32"/>
        <v>6.3739741510639352</v>
      </c>
      <c r="AT67">
        <f t="shared" si="32"/>
        <v>54.999901715071992</v>
      </c>
      <c r="AU67">
        <f t="shared" si="33"/>
        <v>4.451282051282051E-2</v>
      </c>
      <c r="AV67">
        <f t="shared" si="33"/>
        <v>0.66308205128205111</v>
      </c>
      <c r="AW67">
        <f t="shared" si="33"/>
        <v>5.4924051282051289</v>
      </c>
      <c r="AX67">
        <f t="shared" si="34"/>
        <v>3.6015293297564484E-2</v>
      </c>
      <c r="AY67">
        <f t="shared" si="34"/>
        <v>0.60374728037008096</v>
      </c>
      <c r="AZ67">
        <f t="shared" si="34"/>
        <v>5.5602374263323551</v>
      </c>
      <c r="BA67">
        <f t="shared" si="35"/>
        <v>1.6518650088809941E-2</v>
      </c>
      <c r="BB67">
        <f t="shared" si="35"/>
        <v>0.56673245181238086</v>
      </c>
      <c r="BC67">
        <f t="shared" si="35"/>
        <v>5.616748898098809</v>
      </c>
      <c r="BD67">
        <f t="shared" si="36"/>
        <v>2.9253793390147574E-2</v>
      </c>
      <c r="BE67">
        <f t="shared" si="36"/>
        <v>0.47205570567449606</v>
      </c>
      <c r="BF67">
        <f t="shared" si="36"/>
        <v>5.6986905009353563</v>
      </c>
      <c r="BG67">
        <f t="shared" si="37"/>
        <v>6.2612413386407204E-2</v>
      </c>
      <c r="BH67">
        <f t="shared" si="37"/>
        <v>0.63739741510639358</v>
      </c>
      <c r="BI67">
        <f t="shared" si="37"/>
        <v>5.499990171507199</v>
      </c>
      <c r="BJ67">
        <f t="shared" si="38"/>
        <v>20.102564102564099</v>
      </c>
      <c r="BK67">
        <f t="shared" si="50"/>
        <v>299.45641025641021</v>
      </c>
      <c r="BL67">
        <f t="shared" si="39"/>
        <v>2480.4410256410256</v>
      </c>
      <c r="BM67">
        <f t="shared" si="40"/>
        <v>16.264971166642024</v>
      </c>
      <c r="BN67">
        <f t="shared" si="40"/>
        <v>272.66006210261719</v>
      </c>
      <c r="BO67">
        <f t="shared" si="40"/>
        <v>2511.0749667307409</v>
      </c>
      <c r="BP67">
        <f t="shared" si="41"/>
        <v>7.4600355239786831</v>
      </c>
      <c r="BQ67">
        <f t="shared" si="41"/>
        <v>255.94368791526875</v>
      </c>
      <c r="BR67">
        <f t="shared" si="41"/>
        <v>2536.5962765607524</v>
      </c>
      <c r="BS67">
        <f t="shared" si="42"/>
        <v>13.211390563292452</v>
      </c>
      <c r="BT67">
        <f t="shared" si="42"/>
        <v>213.18644772396595</v>
      </c>
      <c r="BU67">
        <f t="shared" si="42"/>
        <v>2573.6021617127417</v>
      </c>
      <c r="BV67">
        <f t="shared" si="43"/>
        <v>28.276573787409706</v>
      </c>
      <c r="BW67">
        <f t="shared" si="43"/>
        <v>287.85689714482288</v>
      </c>
      <c r="BX67">
        <f t="shared" si="43"/>
        <v>2483.8665290677673</v>
      </c>
    </row>
    <row r="68" spans="1:76" x14ac:dyDescent="0.35">
      <c r="A68">
        <v>2089</v>
      </c>
      <c r="B68" s="5">
        <v>56</v>
      </c>
      <c r="C68" s="5">
        <f t="shared" si="68"/>
        <v>821.59999999999991</v>
      </c>
      <c r="D68" s="5">
        <f t="shared" si="67"/>
        <v>6872.4000000000015</v>
      </c>
      <c r="E68" s="5">
        <f t="shared" si="67"/>
        <v>55</v>
      </c>
      <c r="F68" s="5">
        <f t="shared" si="67"/>
        <v>912</v>
      </c>
      <c r="G68" s="5">
        <f t="shared" si="67"/>
        <v>8483.5999999999985</v>
      </c>
      <c r="H68" s="5">
        <f t="shared" si="67"/>
        <v>32.199999999999989</v>
      </c>
      <c r="I68" s="5">
        <f t="shared" si="67"/>
        <v>1107.8000000000002</v>
      </c>
      <c r="J68" s="5">
        <f t="shared" si="67"/>
        <v>11072.400000000001</v>
      </c>
      <c r="K68" s="5">
        <f t="shared" si="67"/>
        <v>45.199999999999989</v>
      </c>
      <c r="L68" s="5">
        <f t="shared" si="67"/>
        <v>719.80000000000018</v>
      </c>
      <c r="M68" s="5">
        <f t="shared" si="67"/>
        <v>8850</v>
      </c>
      <c r="N68" s="5">
        <f t="shared" si="67"/>
        <v>82.600000000000023</v>
      </c>
      <c r="O68" s="5">
        <f t="shared" si="67"/>
        <v>824.40000000000009</v>
      </c>
      <c r="P68" s="5">
        <f t="shared" si="67"/>
        <v>7191.7999999999993</v>
      </c>
      <c r="Q68">
        <f t="shared" si="22"/>
        <v>5.0580645161290308E-2</v>
      </c>
      <c r="R68">
        <f t="shared" si="23"/>
        <v>0.742090322580645</v>
      </c>
      <c r="S68">
        <f t="shared" si="23"/>
        <v>6.2073290322580643</v>
      </c>
      <c r="T68">
        <f t="shared" si="24"/>
        <v>4.0738154191268292E-2</v>
      </c>
      <c r="U68">
        <f t="shared" si="24"/>
        <v>0.67551266586248504</v>
      </c>
      <c r="V68">
        <f t="shared" si="24"/>
        <v>6.2837491799462466</v>
      </c>
      <c r="W68">
        <f t="shared" si="25"/>
        <v>1.8456650617405253E-2</v>
      </c>
      <c r="X68">
        <f t="shared" si="25"/>
        <v>0.63497756378762582</v>
      </c>
      <c r="Y68">
        <f t="shared" si="25"/>
        <v>6.3465657855949686</v>
      </c>
      <c r="Z68">
        <f t="shared" si="26"/>
        <v>3.2906916276651058E-2</v>
      </c>
      <c r="AA68">
        <f t="shared" si="26"/>
        <v>0.52403536141445672</v>
      </c>
      <c r="AB68">
        <f t="shared" si="26"/>
        <v>6.4430577223088923</v>
      </c>
      <c r="AC68">
        <f t="shared" si="27"/>
        <v>7.1393292833506233E-2</v>
      </c>
      <c r="AD68">
        <f t="shared" si="27"/>
        <v>0.71255000740850516</v>
      </c>
      <c r="AE68">
        <f t="shared" si="27"/>
        <v>6.2160566997579885</v>
      </c>
      <c r="AF68">
        <f t="shared" si="28"/>
        <v>0.44799999999999984</v>
      </c>
      <c r="AG68">
        <f t="shared" si="28"/>
        <v>6.5727999999999982</v>
      </c>
      <c r="AH68">
        <f t="shared" si="28"/>
        <v>54.979199999999999</v>
      </c>
      <c r="AI68">
        <f t="shared" si="29"/>
        <v>0.36082365140837624</v>
      </c>
      <c r="AJ68">
        <f t="shared" si="29"/>
        <v>5.9831121833534384</v>
      </c>
      <c r="AK68">
        <f t="shared" si="29"/>
        <v>55.656064165238185</v>
      </c>
      <c r="AL68">
        <f t="shared" si="30"/>
        <v>0.16347319118273224</v>
      </c>
      <c r="AM68">
        <f t="shared" si="30"/>
        <v>5.6240869935475422</v>
      </c>
      <c r="AN68">
        <f t="shared" si="30"/>
        <v>56.212439815269725</v>
      </c>
      <c r="AO68">
        <f t="shared" si="31"/>
        <v>0.29146125845033793</v>
      </c>
      <c r="AP68">
        <f t="shared" si="31"/>
        <v>4.6414560582423308</v>
      </c>
      <c r="AQ68">
        <f t="shared" si="31"/>
        <v>57.067082683307333</v>
      </c>
      <c r="AR68">
        <f t="shared" si="32"/>
        <v>0.63234059366819806</v>
      </c>
      <c r="AS68">
        <f t="shared" si="32"/>
        <v>6.3111572084753309</v>
      </c>
      <c r="AT68">
        <f t="shared" si="32"/>
        <v>55.056502197856474</v>
      </c>
      <c r="AU68">
        <f t="shared" si="33"/>
        <v>4.4799999999999986E-2</v>
      </c>
      <c r="AV68">
        <f t="shared" si="33"/>
        <v>0.65727999999999986</v>
      </c>
      <c r="AW68">
        <f t="shared" si="33"/>
        <v>5.4979200000000006</v>
      </c>
      <c r="AX68">
        <f t="shared" si="34"/>
        <v>3.6082365140837624E-2</v>
      </c>
      <c r="AY68">
        <f t="shared" si="34"/>
        <v>0.59831121833534384</v>
      </c>
      <c r="AZ68">
        <f t="shared" si="34"/>
        <v>5.5656064165238188</v>
      </c>
      <c r="BA68">
        <f t="shared" si="35"/>
        <v>1.6347319118273224E-2</v>
      </c>
      <c r="BB68">
        <f t="shared" si="35"/>
        <v>0.56240869935475424</v>
      </c>
      <c r="BC68">
        <f t="shared" si="35"/>
        <v>5.6212439815269724</v>
      </c>
      <c r="BD68">
        <f t="shared" si="36"/>
        <v>2.9146125845033791E-2</v>
      </c>
      <c r="BE68">
        <f t="shared" si="36"/>
        <v>0.46414560582423309</v>
      </c>
      <c r="BF68">
        <f t="shared" si="36"/>
        <v>5.7067082683307335</v>
      </c>
      <c r="BG68">
        <f t="shared" si="37"/>
        <v>6.3234059366819806E-2</v>
      </c>
      <c r="BH68">
        <f t="shared" si="37"/>
        <v>0.63111572084753309</v>
      </c>
      <c r="BI68">
        <f t="shared" si="37"/>
        <v>5.5056502197856476</v>
      </c>
      <c r="BJ68">
        <f t="shared" si="38"/>
        <v>20.232258064516124</v>
      </c>
      <c r="BK68">
        <f t="shared" si="50"/>
        <v>296.83612903225799</v>
      </c>
      <c r="BL68">
        <f t="shared" si="39"/>
        <v>2482.9316129032259</v>
      </c>
      <c r="BM68">
        <f t="shared" si="40"/>
        <v>16.295261676507316</v>
      </c>
      <c r="BN68">
        <f t="shared" si="40"/>
        <v>270.20506634499401</v>
      </c>
      <c r="BO68">
        <f t="shared" si="40"/>
        <v>2513.4996719784986</v>
      </c>
      <c r="BP68">
        <f t="shared" si="41"/>
        <v>7.382660246962101</v>
      </c>
      <c r="BQ68">
        <f t="shared" si="41"/>
        <v>253.9910255150503</v>
      </c>
      <c r="BR68">
        <f t="shared" si="41"/>
        <v>2538.6263142379876</v>
      </c>
      <c r="BS68">
        <f t="shared" si="42"/>
        <v>13.162766510660422</v>
      </c>
      <c r="BT68">
        <f t="shared" si="42"/>
        <v>209.61414456578268</v>
      </c>
      <c r="BU68">
        <f t="shared" si="42"/>
        <v>2577.223088923557</v>
      </c>
      <c r="BV68">
        <f t="shared" si="43"/>
        <v>28.557317133402492</v>
      </c>
      <c r="BW68">
        <f t="shared" si="43"/>
        <v>285.02000296340202</v>
      </c>
      <c r="BX68">
        <f t="shared" si="43"/>
        <v>2486.4226799031953</v>
      </c>
    </row>
    <row r="69" spans="1:76" x14ac:dyDescent="0.35">
      <c r="A69">
        <v>2090</v>
      </c>
      <c r="B69" s="5">
        <v>56</v>
      </c>
      <c r="C69" s="5">
        <v>809</v>
      </c>
      <c r="D69" s="5">
        <v>6835</v>
      </c>
      <c r="E69" s="5">
        <v>55</v>
      </c>
      <c r="F69" s="5">
        <v>902</v>
      </c>
      <c r="G69" s="5">
        <v>8476</v>
      </c>
      <c r="H69" s="5">
        <v>32</v>
      </c>
      <c r="I69" s="5">
        <v>1104</v>
      </c>
      <c r="J69" s="5">
        <v>11128</v>
      </c>
      <c r="K69" s="5">
        <v>45</v>
      </c>
      <c r="L69" s="5">
        <v>707</v>
      </c>
      <c r="M69" s="5">
        <v>8856</v>
      </c>
      <c r="N69" s="5">
        <v>83</v>
      </c>
      <c r="O69" s="5">
        <v>812</v>
      </c>
      <c r="P69" s="5">
        <v>7163</v>
      </c>
      <c r="Q69">
        <f t="shared" ref="Q69:Q79" si="69">7*(B69/(SUM($B69:$D69)))</f>
        <v>5.0909090909090911E-2</v>
      </c>
      <c r="R69">
        <f t="shared" ref="R69:S79" si="70">7*(C69/(SUM($B69:$D69)))</f>
        <v>0.73545454545454547</v>
      </c>
      <c r="S69">
        <f t="shared" si="70"/>
        <v>6.2136363636363638</v>
      </c>
      <c r="T69">
        <f t="shared" ref="T69:V79" si="71">7*(E69/(SUM($E69:$G69)))</f>
        <v>4.081416304463055E-2</v>
      </c>
      <c r="U69">
        <f t="shared" si="71"/>
        <v>0.66935227393194108</v>
      </c>
      <c r="V69">
        <f t="shared" si="71"/>
        <v>6.2898335630234286</v>
      </c>
      <c r="W69">
        <f t="shared" ref="W69:Y79" si="72">7*(H69/(SUM($H69:$J69)))</f>
        <v>1.8264840182648401E-2</v>
      </c>
      <c r="X69">
        <f t="shared" si="72"/>
        <v>0.63013698630136983</v>
      </c>
      <c r="Y69">
        <f t="shared" si="72"/>
        <v>6.3515981735159821</v>
      </c>
      <c r="Z69">
        <f t="shared" ref="Z69:AB79" si="73">7*(K69/(SUM($K69:$M69)))</f>
        <v>3.2785179017485434E-2</v>
      </c>
      <c r="AA69">
        <f t="shared" si="73"/>
        <v>0.51509159034138219</v>
      </c>
      <c r="AB69">
        <f t="shared" si="73"/>
        <v>6.4521232306411322</v>
      </c>
      <c r="AC69">
        <f t="shared" ref="AC69:AE79" si="74">7*(N69/(SUM($N69:$P69)))</f>
        <v>7.2102258624968982E-2</v>
      </c>
      <c r="AD69">
        <f t="shared" si="74"/>
        <v>0.70538595184909403</v>
      </c>
      <c r="AE69">
        <f t="shared" si="74"/>
        <v>6.222511789525937</v>
      </c>
      <c r="AF69">
        <f t="shared" ref="AF69:AH79" si="75">62*(B69/(SUM($B69:$D69)))</f>
        <v>0.45090909090909093</v>
      </c>
      <c r="AG69">
        <f t="shared" si="75"/>
        <v>6.5140259740259747</v>
      </c>
      <c r="AH69">
        <f t="shared" si="75"/>
        <v>55.035064935064938</v>
      </c>
      <c r="AI69">
        <f t="shared" ref="AI69:AK79" si="76">62*(E69/(SUM($E69:$G69)))</f>
        <v>0.36149687268101349</v>
      </c>
      <c r="AJ69">
        <f t="shared" si="76"/>
        <v>5.9285487119686211</v>
      </c>
      <c r="AK69">
        <f t="shared" si="76"/>
        <v>55.709954415350367</v>
      </c>
      <c r="AL69">
        <f t="shared" ref="AL69:AN79" si="77">62*(H69/(SUM($H69:$J69)))</f>
        <v>0.16177429876060012</v>
      </c>
      <c r="AM69">
        <f t="shared" si="77"/>
        <v>5.581213307240704</v>
      </c>
      <c r="AN69">
        <f t="shared" si="77"/>
        <v>56.257012393998693</v>
      </c>
      <c r="AO69">
        <f t="shared" ref="AO69:AQ79" si="78">62*(K69/(SUM($K69:$M69)))</f>
        <v>0.29038301415487094</v>
      </c>
      <c r="AP69">
        <f t="shared" si="78"/>
        <v>4.5622398001665276</v>
      </c>
      <c r="AQ69">
        <f t="shared" si="78"/>
        <v>57.1473771856786</v>
      </c>
      <c r="AR69">
        <f t="shared" ref="AR69:AT79" si="79">62*(N69/(SUM($N69:$P69)))</f>
        <v>0.63862000496401095</v>
      </c>
      <c r="AS69">
        <f t="shared" si="79"/>
        <v>6.2477041449491191</v>
      </c>
      <c r="AT69">
        <f t="shared" si="79"/>
        <v>55.113675850086871</v>
      </c>
      <c r="AU69">
        <f t="shared" ref="AU69:AW79" si="80">6.2*(B69/(SUM($B69:$D69)))</f>
        <v>4.5090909090909091E-2</v>
      </c>
      <c r="AV69">
        <f t="shared" si="80"/>
        <v>0.65140259740259743</v>
      </c>
      <c r="AW69">
        <f t="shared" si="80"/>
        <v>5.5035064935064941</v>
      </c>
      <c r="AX69">
        <f t="shared" ref="AX69:AZ79" si="81">6.2*(E69/(SUM($E69:$G69)))</f>
        <v>3.6149687268101346E-2</v>
      </c>
      <c r="AY69">
        <f t="shared" si="81"/>
        <v>0.59285487119686209</v>
      </c>
      <c r="AZ69">
        <f t="shared" si="81"/>
        <v>5.5709954415350369</v>
      </c>
      <c r="BA69">
        <f t="shared" ref="BA69:BC79" si="82">6.2*(H69/(SUM($H69:$J69)))</f>
        <v>1.6177429876060013E-2</v>
      </c>
      <c r="BB69">
        <f t="shared" si="82"/>
        <v>0.55812133072407044</v>
      </c>
      <c r="BC69">
        <f t="shared" si="82"/>
        <v>5.62570123939987</v>
      </c>
      <c r="BD69">
        <f t="shared" ref="BD69:BF79" si="83">6.2*(K69/(SUM($K69:$M69)))</f>
        <v>2.9038301415487099E-2</v>
      </c>
      <c r="BE69">
        <f t="shared" si="83"/>
        <v>0.45622398001665282</v>
      </c>
      <c r="BF69">
        <f t="shared" si="83"/>
        <v>5.7147377185678598</v>
      </c>
      <c r="BG69">
        <f t="shared" ref="BG69:BI79" si="84">6.2*(N69/(SUM($N69:$P69)))</f>
        <v>6.3862000496401089E-2</v>
      </c>
      <c r="BH69">
        <f t="shared" si="84"/>
        <v>0.62477041449491189</v>
      </c>
      <c r="BI69">
        <f t="shared" si="84"/>
        <v>5.5113675850086876</v>
      </c>
      <c r="BJ69">
        <f t="shared" ref="BJ69:BJ79" si="85">2800*(B69/(SUM($B69:$D69)))</f>
        <v>20.363636363636363</v>
      </c>
      <c r="BK69">
        <f t="shared" si="50"/>
        <v>294.18181818181819</v>
      </c>
      <c r="BL69">
        <f t="shared" ref="BL69:BL79" si="86">2800*(D69/(SUM($B69:$D69)))</f>
        <v>2485.4545454545455</v>
      </c>
      <c r="BM69">
        <f t="shared" ref="BM69:BO79" si="87">2800*(E69/(SUM($E69:$G69)))</f>
        <v>16.325665217852222</v>
      </c>
      <c r="BN69">
        <f t="shared" si="87"/>
        <v>267.74090957277645</v>
      </c>
      <c r="BO69">
        <f t="shared" si="87"/>
        <v>2515.9334252093713</v>
      </c>
      <c r="BP69">
        <f t="shared" ref="BP69:BR79" si="88">2800*(H69/(SUM($H69:$J69)))</f>
        <v>7.3059360730593603</v>
      </c>
      <c r="BQ69">
        <f t="shared" si="88"/>
        <v>252.05479452054794</v>
      </c>
      <c r="BR69">
        <f t="shared" si="88"/>
        <v>2540.6392694063925</v>
      </c>
      <c r="BS69">
        <f t="shared" ref="BS69:BU79" si="89">2800*(K69/(SUM($K69:$M69)))</f>
        <v>13.114071606994173</v>
      </c>
      <c r="BT69">
        <f t="shared" si="89"/>
        <v>206.03663613655286</v>
      </c>
      <c r="BU69">
        <f t="shared" si="89"/>
        <v>2580.8492922564528</v>
      </c>
      <c r="BV69">
        <f t="shared" ref="BV69:BX79" si="90">2800*(N69/(SUM($N69:$P69)))</f>
        <v>28.840903449987589</v>
      </c>
      <c r="BW69">
        <f t="shared" si="90"/>
        <v>282.15438073963765</v>
      </c>
      <c r="BX69">
        <f t="shared" si="90"/>
        <v>2489.0047158103748</v>
      </c>
    </row>
    <row r="70" spans="1:76" x14ac:dyDescent="0.35">
      <c r="A70">
        <v>2091</v>
      </c>
      <c r="B70" s="5">
        <f>B69+((B$74-B$69)/5)</f>
        <v>55.8</v>
      </c>
      <c r="C70" s="5">
        <f>C69+((C$74-C$69)/5)</f>
        <v>796.6</v>
      </c>
      <c r="D70" s="5">
        <f t="shared" ref="D70:P73" si="91">D69+((D$74-D$69)/5)</f>
        <v>6793.2</v>
      </c>
      <c r="E70" s="5">
        <f t="shared" si="91"/>
        <v>55</v>
      </c>
      <c r="F70" s="5">
        <f t="shared" si="91"/>
        <v>892.6</v>
      </c>
      <c r="G70" s="5">
        <f t="shared" si="91"/>
        <v>8464.6</v>
      </c>
      <c r="H70" s="5">
        <f t="shared" si="91"/>
        <v>31.6</v>
      </c>
      <c r="I70" s="5">
        <f t="shared" si="91"/>
        <v>1101.2</v>
      </c>
      <c r="J70" s="5">
        <f t="shared" si="91"/>
        <v>11182</v>
      </c>
      <c r="K70" s="5">
        <f t="shared" si="91"/>
        <v>44.8</v>
      </c>
      <c r="L70" s="5">
        <f t="shared" si="91"/>
        <v>695</v>
      </c>
      <c r="M70" s="5">
        <f t="shared" si="91"/>
        <v>8859.2000000000007</v>
      </c>
      <c r="N70" s="5">
        <f t="shared" si="91"/>
        <v>83.4</v>
      </c>
      <c r="O70" s="5">
        <f t="shared" si="91"/>
        <v>799.4</v>
      </c>
      <c r="P70" s="5">
        <f t="shared" si="91"/>
        <v>7130</v>
      </c>
      <c r="Q70">
        <f t="shared" si="69"/>
        <v>5.108820759652611E-2</v>
      </c>
      <c r="R70">
        <f t="shared" si="70"/>
        <v>0.72933451920058601</v>
      </c>
      <c r="S70">
        <f t="shared" si="70"/>
        <v>6.219577273202888</v>
      </c>
      <c r="T70">
        <f t="shared" si="71"/>
        <v>4.0904358173434477E-2</v>
      </c>
      <c r="U70">
        <f t="shared" si="71"/>
        <v>0.6638405473746839</v>
      </c>
      <c r="V70">
        <f t="shared" si="71"/>
        <v>6.2952550944518819</v>
      </c>
      <c r="W70">
        <f t="shared" si="72"/>
        <v>1.7962126871731578E-2</v>
      </c>
      <c r="X70">
        <f t="shared" si="72"/>
        <v>0.62594601617565859</v>
      </c>
      <c r="Y70">
        <f t="shared" si="72"/>
        <v>6.3560918569526104</v>
      </c>
      <c r="Z70">
        <f t="shared" si="73"/>
        <v>3.2670069798937391E-2</v>
      </c>
      <c r="AA70">
        <f t="shared" si="73"/>
        <v>0.50682362746119392</v>
      </c>
      <c r="AB70">
        <f t="shared" si="73"/>
        <v>6.4605063027398693</v>
      </c>
      <c r="AC70">
        <f t="shared" si="74"/>
        <v>7.2858426517571892E-2</v>
      </c>
      <c r="AD70">
        <f t="shared" si="74"/>
        <v>0.69835762779552712</v>
      </c>
      <c r="AE70">
        <f t="shared" si="74"/>
        <v>6.2287839456869012</v>
      </c>
      <c r="AF70">
        <f t="shared" si="75"/>
        <v>0.45249555299780264</v>
      </c>
      <c r="AG70">
        <f t="shared" si="75"/>
        <v>6.4598200272051907</v>
      </c>
      <c r="AH70">
        <f t="shared" si="75"/>
        <v>55.087684419797007</v>
      </c>
      <c r="AI70">
        <f t="shared" si="76"/>
        <v>0.3622957438218482</v>
      </c>
      <c r="AJ70">
        <f t="shared" si="76"/>
        <v>5.8797305624614857</v>
      </c>
      <c r="AK70">
        <f t="shared" si="76"/>
        <v>55.757973693716664</v>
      </c>
      <c r="AL70">
        <f t="shared" si="77"/>
        <v>0.15909312372105111</v>
      </c>
      <c r="AM70">
        <f t="shared" si="77"/>
        <v>5.5440932861272616</v>
      </c>
      <c r="AN70">
        <f t="shared" si="77"/>
        <v>56.296813590151686</v>
      </c>
      <c r="AO70">
        <f t="shared" si="78"/>
        <v>0.2893634753620169</v>
      </c>
      <c r="AP70">
        <f t="shared" si="78"/>
        <v>4.4890092717991461</v>
      </c>
      <c r="AQ70">
        <f t="shared" si="78"/>
        <v>57.221627252838843</v>
      </c>
      <c r="AR70">
        <f t="shared" si="79"/>
        <v>0.64531749201277955</v>
      </c>
      <c r="AS70">
        <f t="shared" si="79"/>
        <v>6.1854532747603832</v>
      </c>
      <c r="AT70">
        <f t="shared" si="79"/>
        <v>55.169229233226837</v>
      </c>
      <c r="AU70">
        <f t="shared" si="80"/>
        <v>4.5249555299780267E-2</v>
      </c>
      <c r="AV70">
        <f t="shared" si="80"/>
        <v>0.64598200272051909</v>
      </c>
      <c r="AW70">
        <f t="shared" si="80"/>
        <v>5.5087684419797007</v>
      </c>
      <c r="AX70">
        <f t="shared" si="81"/>
        <v>3.6229574382184826E-2</v>
      </c>
      <c r="AY70">
        <f t="shared" si="81"/>
        <v>0.5879730562461486</v>
      </c>
      <c r="AZ70">
        <f t="shared" si="81"/>
        <v>5.5757973693716671</v>
      </c>
      <c r="BA70">
        <f t="shared" si="82"/>
        <v>1.5909312372105112E-2</v>
      </c>
      <c r="BB70">
        <f t="shared" si="82"/>
        <v>0.55440932861272618</v>
      </c>
      <c r="BC70">
        <f t="shared" si="82"/>
        <v>5.6296813590151693</v>
      </c>
      <c r="BD70">
        <f t="shared" si="83"/>
        <v>2.8936347536201688E-2</v>
      </c>
      <c r="BE70">
        <f t="shared" si="83"/>
        <v>0.44890092717991464</v>
      </c>
      <c r="BF70">
        <f t="shared" si="83"/>
        <v>5.7221627252838845</v>
      </c>
      <c r="BG70">
        <f t="shared" si="84"/>
        <v>6.4531749201277966E-2</v>
      </c>
      <c r="BH70">
        <f t="shared" si="84"/>
        <v>0.6185453274760383</v>
      </c>
      <c r="BI70">
        <f t="shared" si="84"/>
        <v>5.5169229233226842</v>
      </c>
      <c r="BJ70">
        <f t="shared" si="85"/>
        <v>20.435283038610443</v>
      </c>
      <c r="BK70">
        <f t="shared" si="50"/>
        <v>291.73380768023441</v>
      </c>
      <c r="BL70">
        <f t="shared" si="86"/>
        <v>2487.8309092811551</v>
      </c>
      <c r="BM70">
        <f t="shared" si="87"/>
        <v>16.36174326937379</v>
      </c>
      <c r="BN70">
        <f t="shared" si="87"/>
        <v>265.53621894987356</v>
      </c>
      <c r="BO70">
        <f t="shared" si="87"/>
        <v>2518.1020377807527</v>
      </c>
      <c r="BP70">
        <f t="shared" si="88"/>
        <v>7.1848507486926305</v>
      </c>
      <c r="BQ70">
        <f t="shared" si="88"/>
        <v>250.37840647026343</v>
      </c>
      <c r="BR70">
        <f t="shared" si="88"/>
        <v>2542.4367427810439</v>
      </c>
      <c r="BS70">
        <f t="shared" si="89"/>
        <v>13.068027919574956</v>
      </c>
      <c r="BT70">
        <f t="shared" si="89"/>
        <v>202.72945098447758</v>
      </c>
      <c r="BU70">
        <f t="shared" si="89"/>
        <v>2584.2025210959478</v>
      </c>
      <c r="BV70">
        <f t="shared" si="90"/>
        <v>29.143370607028757</v>
      </c>
      <c r="BW70">
        <f t="shared" si="90"/>
        <v>279.34305111821084</v>
      </c>
      <c r="BX70">
        <f t="shared" si="90"/>
        <v>2491.5135782747602</v>
      </c>
    </row>
    <row r="71" spans="1:76" x14ac:dyDescent="0.35">
      <c r="A71">
        <v>2092</v>
      </c>
      <c r="B71" s="5">
        <f t="shared" ref="B71:C73" si="92">B70+((B$74-B$69)/5)</f>
        <v>55.599999999999994</v>
      </c>
      <c r="C71" s="5">
        <f t="shared" si="92"/>
        <v>784.2</v>
      </c>
      <c r="D71" s="5">
        <f t="shared" si="91"/>
        <v>6751.4</v>
      </c>
      <c r="E71" s="5">
        <f t="shared" si="91"/>
        <v>55</v>
      </c>
      <c r="F71" s="5">
        <f t="shared" si="91"/>
        <v>883.2</v>
      </c>
      <c r="G71" s="5">
        <f t="shared" si="91"/>
        <v>8453.2000000000007</v>
      </c>
      <c r="H71" s="5">
        <f t="shared" si="91"/>
        <v>31.200000000000003</v>
      </c>
      <c r="I71" s="5">
        <f t="shared" si="91"/>
        <v>1098.4000000000001</v>
      </c>
      <c r="J71" s="5">
        <f t="shared" si="91"/>
        <v>11236</v>
      </c>
      <c r="K71" s="5">
        <f t="shared" si="91"/>
        <v>44.599999999999994</v>
      </c>
      <c r="L71" s="5">
        <f t="shared" si="91"/>
        <v>683</v>
      </c>
      <c r="M71" s="5">
        <f t="shared" si="91"/>
        <v>8862.4000000000015</v>
      </c>
      <c r="N71" s="5">
        <f t="shared" si="91"/>
        <v>83.800000000000011</v>
      </c>
      <c r="O71" s="5">
        <f t="shared" si="91"/>
        <v>786.8</v>
      </c>
      <c r="P71" s="5">
        <f t="shared" si="91"/>
        <v>7097</v>
      </c>
      <c r="Q71">
        <f t="shared" si="69"/>
        <v>5.1269891453261662E-2</v>
      </c>
      <c r="R71">
        <f t="shared" si="70"/>
        <v>0.72312677837496053</v>
      </c>
      <c r="S71">
        <f t="shared" si="70"/>
        <v>6.2256033301717775</v>
      </c>
      <c r="T71">
        <f t="shared" si="71"/>
        <v>4.0994952829184139E-2</v>
      </c>
      <c r="U71">
        <f t="shared" si="71"/>
        <v>0.65830440615882613</v>
      </c>
      <c r="V71">
        <f t="shared" si="71"/>
        <v>6.3007006410119892</v>
      </c>
      <c r="W71">
        <f t="shared" si="72"/>
        <v>1.7661900756938603E-2</v>
      </c>
      <c r="X71">
        <f t="shared" si="72"/>
        <v>0.62178948049427452</v>
      </c>
      <c r="Y71">
        <f t="shared" si="72"/>
        <v>6.360548618748787</v>
      </c>
      <c r="Z71">
        <f t="shared" si="73"/>
        <v>3.2554744525547435E-2</v>
      </c>
      <c r="AA71">
        <f t="shared" si="73"/>
        <v>0.49854014598540136</v>
      </c>
      <c r="AB71">
        <f t="shared" si="73"/>
        <v>6.4689051094890511</v>
      </c>
      <c r="AC71">
        <f t="shared" si="74"/>
        <v>7.3623173854109145E-2</v>
      </c>
      <c r="AD71">
        <f t="shared" si="74"/>
        <v>0.69124956072091959</v>
      </c>
      <c r="AE71">
        <f t="shared" si="74"/>
        <v>6.2351272654249703</v>
      </c>
      <c r="AF71">
        <f t="shared" si="75"/>
        <v>0.45410475287174618</v>
      </c>
      <c r="AG71">
        <f t="shared" si="75"/>
        <v>6.4048371798925077</v>
      </c>
      <c r="AH71">
        <f t="shared" si="75"/>
        <v>55.141058067235747</v>
      </c>
      <c r="AI71">
        <f t="shared" si="76"/>
        <v>0.36309815362991665</v>
      </c>
      <c r="AJ71">
        <f t="shared" si="76"/>
        <v>5.8306961688353169</v>
      </c>
      <c r="AK71">
        <f t="shared" si="76"/>
        <v>55.806205677534763</v>
      </c>
      <c r="AL71">
        <f t="shared" si="77"/>
        <v>0.15643397813288479</v>
      </c>
      <c r="AM71">
        <f t="shared" si="77"/>
        <v>5.5072782558064306</v>
      </c>
      <c r="AN71">
        <f t="shared" si="77"/>
        <v>56.336287766060686</v>
      </c>
      <c r="AO71">
        <f t="shared" si="78"/>
        <v>0.28834202294056299</v>
      </c>
      <c r="AP71">
        <f t="shared" si="78"/>
        <v>4.4156412930135547</v>
      </c>
      <c r="AQ71">
        <f t="shared" si="78"/>
        <v>57.296016684045881</v>
      </c>
      <c r="AR71">
        <f t="shared" si="79"/>
        <v>0.65209096842210956</v>
      </c>
      <c r="AS71">
        <f t="shared" si="79"/>
        <v>6.122496109242431</v>
      </c>
      <c r="AT71">
        <f t="shared" si="79"/>
        <v>55.225412922335451</v>
      </c>
      <c r="AU71">
        <f t="shared" si="80"/>
        <v>4.5410475287174616E-2</v>
      </c>
      <c r="AV71">
        <f t="shared" si="80"/>
        <v>0.64048371798925074</v>
      </c>
      <c r="AW71">
        <f t="shared" si="80"/>
        <v>5.5141058067235749</v>
      </c>
      <c r="AX71">
        <f t="shared" si="81"/>
        <v>3.6309815362991667E-2</v>
      </c>
      <c r="AY71">
        <f t="shared" si="81"/>
        <v>0.58306961688353176</v>
      </c>
      <c r="AZ71">
        <f t="shared" si="81"/>
        <v>5.5806205677534759</v>
      </c>
      <c r="BA71">
        <f t="shared" si="82"/>
        <v>1.5643397813288478E-2</v>
      </c>
      <c r="BB71">
        <f t="shared" si="82"/>
        <v>0.55072782558064315</v>
      </c>
      <c r="BC71">
        <f t="shared" si="82"/>
        <v>5.6336287766060682</v>
      </c>
      <c r="BD71">
        <f t="shared" si="83"/>
        <v>2.88342022940563E-2</v>
      </c>
      <c r="BE71">
        <f t="shared" si="83"/>
        <v>0.44156412930135552</v>
      </c>
      <c r="BF71">
        <f t="shared" si="83"/>
        <v>5.7296016684045883</v>
      </c>
      <c r="BG71">
        <f t="shared" si="84"/>
        <v>6.5209096842210962E-2</v>
      </c>
      <c r="BH71">
        <f t="shared" si="84"/>
        <v>0.61224961092424313</v>
      </c>
      <c r="BI71">
        <f t="shared" si="84"/>
        <v>5.5225412922335453</v>
      </c>
      <c r="BJ71">
        <f t="shared" si="85"/>
        <v>20.507956581304665</v>
      </c>
      <c r="BK71">
        <f t="shared" si="50"/>
        <v>289.25071134998421</v>
      </c>
      <c r="BL71">
        <f t="shared" si="86"/>
        <v>2490.241332068711</v>
      </c>
      <c r="BM71">
        <f t="shared" si="87"/>
        <v>16.397981131673657</v>
      </c>
      <c r="BN71">
        <f t="shared" si="87"/>
        <v>263.32176246353043</v>
      </c>
      <c r="BO71">
        <f t="shared" si="87"/>
        <v>2520.2802564047956</v>
      </c>
      <c r="BP71">
        <f t="shared" si="88"/>
        <v>7.0647603027754418</v>
      </c>
      <c r="BQ71">
        <f t="shared" si="88"/>
        <v>248.71579219770979</v>
      </c>
      <c r="BR71">
        <f t="shared" si="88"/>
        <v>2544.2194474995149</v>
      </c>
      <c r="BS71">
        <f t="shared" si="89"/>
        <v>13.021897810218974</v>
      </c>
      <c r="BT71">
        <f t="shared" si="89"/>
        <v>199.41605839416056</v>
      </c>
      <c r="BU71">
        <f t="shared" si="89"/>
        <v>2587.5620437956204</v>
      </c>
      <c r="BV71">
        <f t="shared" si="90"/>
        <v>29.449269541643659</v>
      </c>
      <c r="BW71">
        <f t="shared" si="90"/>
        <v>276.49982428836785</v>
      </c>
      <c r="BX71">
        <f t="shared" si="90"/>
        <v>2494.0509061699881</v>
      </c>
    </row>
    <row r="72" spans="1:76" x14ac:dyDescent="0.35">
      <c r="A72">
        <v>2093</v>
      </c>
      <c r="B72" s="5">
        <f t="shared" si="92"/>
        <v>55.399999999999991</v>
      </c>
      <c r="C72" s="5">
        <f t="shared" si="92"/>
        <v>771.80000000000007</v>
      </c>
      <c r="D72" s="5">
        <f t="shared" si="91"/>
        <v>6709.5999999999995</v>
      </c>
      <c r="E72" s="5">
        <f t="shared" si="91"/>
        <v>55</v>
      </c>
      <c r="F72" s="5">
        <f t="shared" si="91"/>
        <v>873.80000000000007</v>
      </c>
      <c r="G72" s="5">
        <f t="shared" si="91"/>
        <v>8441.8000000000011</v>
      </c>
      <c r="H72" s="5">
        <f t="shared" si="91"/>
        <v>30.800000000000004</v>
      </c>
      <c r="I72" s="5">
        <f t="shared" si="91"/>
        <v>1095.6000000000001</v>
      </c>
      <c r="J72" s="5">
        <f t="shared" si="91"/>
        <v>11290</v>
      </c>
      <c r="K72" s="5">
        <f t="shared" si="91"/>
        <v>44.399999999999991</v>
      </c>
      <c r="L72" s="5">
        <f t="shared" si="91"/>
        <v>671</v>
      </c>
      <c r="M72" s="5">
        <f t="shared" si="91"/>
        <v>8865.6000000000022</v>
      </c>
      <c r="N72" s="5">
        <f t="shared" si="91"/>
        <v>84.200000000000017</v>
      </c>
      <c r="O72" s="5">
        <f t="shared" si="91"/>
        <v>774.19999999999993</v>
      </c>
      <c r="P72" s="5">
        <f t="shared" si="91"/>
        <v>7064</v>
      </c>
      <c r="Q72">
        <f t="shared" si="69"/>
        <v>5.1454198068145635E-2</v>
      </c>
      <c r="R72">
        <f t="shared" si="70"/>
        <v>0.71682942362806512</v>
      </c>
      <c r="S72">
        <f t="shared" si="70"/>
        <v>6.2317163783037897</v>
      </c>
      <c r="T72">
        <f t="shared" si="71"/>
        <v>4.1085949672379565E-2</v>
      </c>
      <c r="U72">
        <f t="shared" si="71"/>
        <v>0.65274368770409574</v>
      </c>
      <c r="V72">
        <f t="shared" si="71"/>
        <v>6.3061703626235257</v>
      </c>
      <c r="W72">
        <f t="shared" si="72"/>
        <v>1.7364131310202639E-2</v>
      </c>
      <c r="X72">
        <f t="shared" si="72"/>
        <v>0.61766695660577953</v>
      </c>
      <c r="Y72">
        <f t="shared" si="72"/>
        <v>6.3649689120840183</v>
      </c>
      <c r="Z72">
        <f t="shared" si="73"/>
        <v>3.2439202588456312E-2</v>
      </c>
      <c r="AA72">
        <f t="shared" si="73"/>
        <v>0.4902411021814006</v>
      </c>
      <c r="AB72">
        <f t="shared" si="73"/>
        <v>6.4773196952301433</v>
      </c>
      <c r="AC72">
        <f t="shared" si="74"/>
        <v>7.4396647480561462E-2</v>
      </c>
      <c r="AD72">
        <f t="shared" si="74"/>
        <v>0.68406038574169448</v>
      </c>
      <c r="AE72">
        <f t="shared" si="74"/>
        <v>6.241542966777744</v>
      </c>
      <c r="AF72">
        <f t="shared" si="75"/>
        <v>0.45573718288928988</v>
      </c>
      <c r="AG72">
        <f t="shared" si="75"/>
        <v>6.3490606092771484</v>
      </c>
      <c r="AH72">
        <f t="shared" si="75"/>
        <v>55.195202207833567</v>
      </c>
      <c r="AI72">
        <f t="shared" si="76"/>
        <v>0.36390412566964758</v>
      </c>
      <c r="AJ72">
        <f t="shared" si="76"/>
        <v>5.7814440910934195</v>
      </c>
      <c r="AK72">
        <f t="shared" si="76"/>
        <v>55.854651783236939</v>
      </c>
      <c r="AL72">
        <f t="shared" si="77"/>
        <v>0.15379659160465192</v>
      </c>
      <c r="AM72">
        <f t="shared" si="77"/>
        <v>5.4707644727940474</v>
      </c>
      <c r="AN72">
        <f t="shared" si="77"/>
        <v>56.375438935601302</v>
      </c>
      <c r="AO72">
        <f t="shared" si="78"/>
        <v>0.28731865149775587</v>
      </c>
      <c r="AP72">
        <f t="shared" si="78"/>
        <v>4.3421354764638336</v>
      </c>
      <c r="AQ72">
        <f t="shared" si="78"/>
        <v>57.370545872038413</v>
      </c>
      <c r="AR72">
        <f t="shared" si="79"/>
        <v>0.65894173482783014</v>
      </c>
      <c r="AS72">
        <f t="shared" si="79"/>
        <v>6.0588205594264366</v>
      </c>
      <c r="AT72">
        <f t="shared" si="79"/>
        <v>55.282237705745736</v>
      </c>
      <c r="AU72">
        <f t="shared" si="80"/>
        <v>4.5573718288928991E-2</v>
      </c>
      <c r="AV72">
        <f t="shared" si="80"/>
        <v>0.63490606092771484</v>
      </c>
      <c r="AW72">
        <f t="shared" si="80"/>
        <v>5.5195202207833569</v>
      </c>
      <c r="AX72">
        <f t="shared" si="81"/>
        <v>3.6390412566964764E-2</v>
      </c>
      <c r="AY72">
        <f t="shared" si="81"/>
        <v>0.57814440910934195</v>
      </c>
      <c r="AZ72">
        <f t="shared" si="81"/>
        <v>5.5854651783236937</v>
      </c>
      <c r="BA72">
        <f t="shared" si="82"/>
        <v>1.5379659160465194E-2</v>
      </c>
      <c r="BB72">
        <f t="shared" si="82"/>
        <v>0.54707644727940474</v>
      </c>
      <c r="BC72">
        <f t="shared" si="82"/>
        <v>5.6375438935601307</v>
      </c>
      <c r="BD72">
        <f t="shared" si="83"/>
        <v>2.873186514977559E-2</v>
      </c>
      <c r="BE72">
        <f t="shared" si="83"/>
        <v>0.43421354764638337</v>
      </c>
      <c r="BF72">
        <f t="shared" si="83"/>
        <v>5.7370545872038416</v>
      </c>
      <c r="BG72">
        <f t="shared" si="84"/>
        <v>6.5894173482783022E-2</v>
      </c>
      <c r="BH72">
        <f t="shared" si="84"/>
        <v>0.60588205594264366</v>
      </c>
      <c r="BI72">
        <f t="shared" si="84"/>
        <v>5.5282237705745736</v>
      </c>
      <c r="BJ72">
        <f t="shared" si="85"/>
        <v>20.581679227258252</v>
      </c>
      <c r="BK72">
        <f t="shared" si="50"/>
        <v>286.73176945122606</v>
      </c>
      <c r="BL72">
        <f t="shared" si="86"/>
        <v>2492.6865513215157</v>
      </c>
      <c r="BM72">
        <f t="shared" si="87"/>
        <v>16.434379868951826</v>
      </c>
      <c r="BN72">
        <f t="shared" si="87"/>
        <v>261.09747508163832</v>
      </c>
      <c r="BO72">
        <f t="shared" si="87"/>
        <v>2522.4681450494099</v>
      </c>
      <c r="BP72">
        <f t="shared" si="88"/>
        <v>6.9456525240810549</v>
      </c>
      <c r="BQ72">
        <f t="shared" si="88"/>
        <v>247.06678264231184</v>
      </c>
      <c r="BR72">
        <f t="shared" si="88"/>
        <v>2545.9875648336074</v>
      </c>
      <c r="BS72">
        <f t="shared" si="89"/>
        <v>12.975681035382523</v>
      </c>
      <c r="BT72">
        <f t="shared" si="89"/>
        <v>196.09644087256024</v>
      </c>
      <c r="BU72">
        <f t="shared" si="89"/>
        <v>2590.9278780920572</v>
      </c>
      <c r="BV72">
        <f t="shared" si="90"/>
        <v>29.758658992224589</v>
      </c>
      <c r="BW72">
        <f t="shared" si="90"/>
        <v>273.62415429667777</v>
      </c>
      <c r="BX72">
        <f t="shared" si="90"/>
        <v>2496.6171867110975</v>
      </c>
    </row>
    <row r="73" spans="1:76" x14ac:dyDescent="0.35">
      <c r="A73">
        <v>2094</v>
      </c>
      <c r="B73" s="5">
        <f t="shared" si="92"/>
        <v>55.199999999999989</v>
      </c>
      <c r="C73" s="5">
        <f t="shared" si="92"/>
        <v>759.40000000000009</v>
      </c>
      <c r="D73" s="5">
        <f t="shared" si="91"/>
        <v>6667.7999999999993</v>
      </c>
      <c r="E73" s="5">
        <f t="shared" si="91"/>
        <v>55</v>
      </c>
      <c r="F73" s="5">
        <f t="shared" si="91"/>
        <v>864.40000000000009</v>
      </c>
      <c r="G73" s="5">
        <f t="shared" si="91"/>
        <v>8430.4000000000015</v>
      </c>
      <c r="H73" s="5">
        <f t="shared" si="91"/>
        <v>30.400000000000006</v>
      </c>
      <c r="I73" s="5">
        <f t="shared" si="91"/>
        <v>1092.8000000000002</v>
      </c>
      <c r="J73" s="5">
        <f t="shared" si="91"/>
        <v>11344</v>
      </c>
      <c r="K73" s="5">
        <f t="shared" si="91"/>
        <v>44.199999999999989</v>
      </c>
      <c r="L73" s="5">
        <f t="shared" si="91"/>
        <v>659</v>
      </c>
      <c r="M73" s="5">
        <f t="shared" si="91"/>
        <v>8868.8000000000029</v>
      </c>
      <c r="N73" s="5">
        <f t="shared" si="91"/>
        <v>84.600000000000023</v>
      </c>
      <c r="O73" s="5">
        <f t="shared" si="91"/>
        <v>761.59999999999991</v>
      </c>
      <c r="P73" s="5">
        <f t="shared" si="91"/>
        <v>7031</v>
      </c>
      <c r="Q73">
        <f t="shared" si="69"/>
        <v>5.1641184646637431E-2</v>
      </c>
      <c r="R73">
        <f t="shared" si="70"/>
        <v>0.71044050037421158</v>
      </c>
      <c r="S73">
        <f t="shared" si="70"/>
        <v>6.2379183149791508</v>
      </c>
      <c r="T73">
        <f t="shared" si="71"/>
        <v>4.1177351387195443E-2</v>
      </c>
      <c r="U73">
        <f t="shared" si="71"/>
        <v>0.64715822798348632</v>
      </c>
      <c r="V73">
        <f t="shared" si="71"/>
        <v>6.3116644206293184</v>
      </c>
      <c r="W73">
        <f t="shared" si="72"/>
        <v>1.7068788501026694E-2</v>
      </c>
      <c r="X73">
        <f t="shared" si="72"/>
        <v>0.61357802874743339</v>
      </c>
      <c r="Y73">
        <f t="shared" si="72"/>
        <v>6.3693531827515395</v>
      </c>
      <c r="Z73">
        <f t="shared" si="73"/>
        <v>3.2323443376514813E-2</v>
      </c>
      <c r="AA73">
        <f t="shared" si="73"/>
        <v>0.48192645215211016</v>
      </c>
      <c r="AB73">
        <f t="shared" si="73"/>
        <v>6.4857501044713741</v>
      </c>
      <c r="AC73">
        <f t="shared" si="74"/>
        <v>7.5178997613365176E-2</v>
      </c>
      <c r="AD73">
        <f t="shared" si="74"/>
        <v>0.67678870664703183</v>
      </c>
      <c r="AE73">
        <f t="shared" si="74"/>
        <v>6.2480322957396028</v>
      </c>
      <c r="AF73">
        <f t="shared" si="75"/>
        <v>0.45739334972736012</v>
      </c>
      <c r="AG73">
        <f t="shared" si="75"/>
        <v>6.2924730033144458</v>
      </c>
      <c r="AH73">
        <f t="shared" si="75"/>
        <v>55.25013364695819</v>
      </c>
      <c r="AI73">
        <f t="shared" si="76"/>
        <v>0.36471368371515961</v>
      </c>
      <c r="AJ73">
        <f t="shared" si="76"/>
        <v>5.7319728764251643</v>
      </c>
      <c r="AK73">
        <f t="shared" si="76"/>
        <v>55.90331343985968</v>
      </c>
      <c r="AL73">
        <f t="shared" si="77"/>
        <v>0.15118069815195073</v>
      </c>
      <c r="AM73">
        <f t="shared" si="77"/>
        <v>5.4345482546201236</v>
      </c>
      <c r="AN73">
        <f t="shared" si="77"/>
        <v>56.414271047227921</v>
      </c>
      <c r="AO73">
        <f t="shared" si="78"/>
        <v>0.2862933556205598</v>
      </c>
      <c r="AP73">
        <f t="shared" si="78"/>
        <v>4.2684914333472612</v>
      </c>
      <c r="AQ73">
        <f t="shared" si="78"/>
        <v>57.445215211032171</v>
      </c>
      <c r="AR73">
        <f t="shared" si="79"/>
        <v>0.66587112171837726</v>
      </c>
      <c r="AS73">
        <f t="shared" si="79"/>
        <v>5.9944142588737108</v>
      </c>
      <c r="AT73">
        <f t="shared" si="79"/>
        <v>55.339714619407914</v>
      </c>
      <c r="AU73">
        <f t="shared" si="80"/>
        <v>4.5739334972736009E-2</v>
      </c>
      <c r="AV73">
        <f t="shared" si="80"/>
        <v>0.6292473003314446</v>
      </c>
      <c r="AW73">
        <f t="shared" si="80"/>
        <v>5.5250133646958188</v>
      </c>
      <c r="AX73">
        <f t="shared" si="81"/>
        <v>3.6471368371515961E-2</v>
      </c>
      <c r="AY73">
        <f t="shared" si="81"/>
        <v>0.57319728764251643</v>
      </c>
      <c r="AZ73">
        <f t="shared" si="81"/>
        <v>5.5903313439859676</v>
      </c>
      <c r="BA73">
        <f t="shared" si="82"/>
        <v>1.5118069815195073E-2</v>
      </c>
      <c r="BB73">
        <f t="shared" si="82"/>
        <v>0.5434548254620124</v>
      </c>
      <c r="BC73">
        <f t="shared" si="82"/>
        <v>5.6414271047227924</v>
      </c>
      <c r="BD73">
        <f t="shared" si="83"/>
        <v>2.8629335562055977E-2</v>
      </c>
      <c r="BE73">
        <f t="shared" si="83"/>
        <v>0.42684914333472618</v>
      </c>
      <c r="BF73">
        <f t="shared" si="83"/>
        <v>5.7445215211032172</v>
      </c>
      <c r="BG73">
        <f t="shared" si="84"/>
        <v>6.6587112171837728E-2</v>
      </c>
      <c r="BH73">
        <f t="shared" si="84"/>
        <v>0.59944142588737115</v>
      </c>
      <c r="BI73">
        <f t="shared" si="84"/>
        <v>5.5339714619407916</v>
      </c>
      <c r="BJ73">
        <f t="shared" si="85"/>
        <v>20.656473858654973</v>
      </c>
      <c r="BK73">
        <f t="shared" si="50"/>
        <v>284.17620014968463</v>
      </c>
      <c r="BL73">
        <f t="shared" si="86"/>
        <v>2495.1673259916602</v>
      </c>
      <c r="BM73">
        <f t="shared" si="87"/>
        <v>16.470940554878176</v>
      </c>
      <c r="BN73">
        <f t="shared" si="87"/>
        <v>258.8632911933945</v>
      </c>
      <c r="BO73">
        <f t="shared" si="87"/>
        <v>2524.6657682517275</v>
      </c>
      <c r="BP73">
        <f t="shared" si="88"/>
        <v>6.8275154004106779</v>
      </c>
      <c r="BQ73">
        <f t="shared" si="88"/>
        <v>245.43121149897334</v>
      </c>
      <c r="BR73">
        <f t="shared" si="88"/>
        <v>2547.7412731006157</v>
      </c>
      <c r="BS73">
        <f t="shared" si="89"/>
        <v>12.929377350605925</v>
      </c>
      <c r="BT73">
        <f t="shared" si="89"/>
        <v>192.77058086084406</v>
      </c>
      <c r="BU73">
        <f t="shared" si="89"/>
        <v>2594.3000417885496</v>
      </c>
      <c r="BV73">
        <f t="shared" si="90"/>
        <v>30.071599045346069</v>
      </c>
      <c r="BW73">
        <f t="shared" si="90"/>
        <v>270.71548265881273</v>
      </c>
      <c r="BX73">
        <f t="shared" si="90"/>
        <v>2499.2129182958411</v>
      </c>
    </row>
    <row r="74" spans="1:76" x14ac:dyDescent="0.35">
      <c r="A74">
        <v>2095</v>
      </c>
      <c r="B74" s="5">
        <v>55</v>
      </c>
      <c r="C74" s="5">
        <v>747</v>
      </c>
      <c r="D74" s="5">
        <v>6626</v>
      </c>
      <c r="E74" s="5">
        <v>55</v>
      </c>
      <c r="F74" s="5">
        <v>855</v>
      </c>
      <c r="G74" s="5">
        <v>8419</v>
      </c>
      <c r="H74" s="5">
        <v>30</v>
      </c>
      <c r="I74" s="5">
        <v>1090</v>
      </c>
      <c r="J74" s="5">
        <v>11398</v>
      </c>
      <c r="K74" s="5">
        <v>44</v>
      </c>
      <c r="L74" s="5">
        <v>647</v>
      </c>
      <c r="M74" s="5">
        <v>8872</v>
      </c>
      <c r="N74" s="5">
        <v>85</v>
      </c>
      <c r="O74" s="5">
        <v>749</v>
      </c>
      <c r="P74" s="5">
        <v>6998</v>
      </c>
      <c r="Q74">
        <f t="shared" si="69"/>
        <v>5.1830910070005384E-2</v>
      </c>
      <c r="R74">
        <f t="shared" si="70"/>
        <v>0.7039579967689823</v>
      </c>
      <c r="S74">
        <f t="shared" si="70"/>
        <v>6.2442110931610122</v>
      </c>
      <c r="T74">
        <f t="shared" si="71"/>
        <v>4.1269160681745097E-2</v>
      </c>
      <c r="U74">
        <f t="shared" si="71"/>
        <v>0.64154786150712828</v>
      </c>
      <c r="V74">
        <f t="shared" si="71"/>
        <v>6.317182977811127</v>
      </c>
      <c r="W74">
        <f t="shared" si="72"/>
        <v>1.6775842786387603E-2</v>
      </c>
      <c r="X74">
        <f t="shared" si="72"/>
        <v>0.60952228790541618</v>
      </c>
      <c r="Y74">
        <f t="shared" si="72"/>
        <v>6.3737018693081966</v>
      </c>
      <c r="Z74">
        <f t="shared" si="73"/>
        <v>3.220746627627314E-2</v>
      </c>
      <c r="AA74">
        <f t="shared" si="73"/>
        <v>0.4735961518351981</v>
      </c>
      <c r="AB74">
        <f t="shared" si="73"/>
        <v>6.4941963818885293</v>
      </c>
      <c r="AC74">
        <f t="shared" si="74"/>
        <v>7.5970377936670067E-2</v>
      </c>
      <c r="AD74">
        <f t="shared" si="74"/>
        <v>0.66943309499489279</v>
      </c>
      <c r="AE74">
        <f t="shared" si="74"/>
        <v>6.2545965270684372</v>
      </c>
      <c r="AF74">
        <f t="shared" si="75"/>
        <v>0.45907377490576196</v>
      </c>
      <c r="AG74">
        <f t="shared" si="75"/>
        <v>6.2350565428109856</v>
      </c>
      <c r="AH74">
        <f t="shared" si="75"/>
        <v>55.305869682283252</v>
      </c>
      <c r="AI74">
        <f t="shared" si="76"/>
        <v>0.36552685175259941</v>
      </c>
      <c r="AJ74">
        <f t="shared" si="76"/>
        <v>5.6822810590631363</v>
      </c>
      <c r="AK74">
        <f t="shared" si="76"/>
        <v>55.952192089184265</v>
      </c>
      <c r="AL74">
        <f t="shared" si="77"/>
        <v>0.14858603610800447</v>
      </c>
      <c r="AM74">
        <f t="shared" si="77"/>
        <v>5.3986259785908288</v>
      </c>
      <c r="AN74">
        <f t="shared" si="77"/>
        <v>56.452787985301164</v>
      </c>
      <c r="AO74">
        <f t="shared" si="78"/>
        <v>0.2852661298755621</v>
      </c>
      <c r="AP74">
        <f t="shared" si="78"/>
        <v>4.1947087733974691</v>
      </c>
      <c r="AQ74">
        <f t="shared" si="78"/>
        <v>57.520025096726968</v>
      </c>
      <c r="AR74">
        <f t="shared" si="79"/>
        <v>0.67288049029622066</v>
      </c>
      <c r="AS74">
        <f t="shared" si="79"/>
        <v>5.9292645556690502</v>
      </c>
      <c r="AT74">
        <f t="shared" si="79"/>
        <v>55.397854954034727</v>
      </c>
      <c r="AU74">
        <f t="shared" si="80"/>
        <v>4.5907377490576197E-2</v>
      </c>
      <c r="AV74">
        <f t="shared" si="80"/>
        <v>0.62350565428109861</v>
      </c>
      <c r="AW74">
        <f t="shared" si="80"/>
        <v>5.5305869682283255</v>
      </c>
      <c r="AX74">
        <f t="shared" si="81"/>
        <v>3.655268517525994E-2</v>
      </c>
      <c r="AY74">
        <f t="shared" si="81"/>
        <v>0.56822810590631367</v>
      </c>
      <c r="AZ74">
        <f t="shared" si="81"/>
        <v>5.5952192089184267</v>
      </c>
      <c r="BA74">
        <f t="shared" si="82"/>
        <v>1.4858603610800448E-2</v>
      </c>
      <c r="BB74">
        <f t="shared" si="82"/>
        <v>0.53986259785908297</v>
      </c>
      <c r="BC74">
        <f t="shared" si="82"/>
        <v>5.6452787985301169</v>
      </c>
      <c r="BD74">
        <f t="shared" si="83"/>
        <v>2.852661298755621E-2</v>
      </c>
      <c r="BE74">
        <f t="shared" si="83"/>
        <v>0.41947087733974692</v>
      </c>
      <c r="BF74">
        <f t="shared" si="83"/>
        <v>5.752002509672697</v>
      </c>
      <c r="BG74">
        <f t="shared" si="84"/>
        <v>6.7288049029622057E-2</v>
      </c>
      <c r="BH74">
        <f t="shared" si="84"/>
        <v>0.59292645556690504</v>
      </c>
      <c r="BI74">
        <f t="shared" si="84"/>
        <v>5.5397854954034731</v>
      </c>
      <c r="BJ74">
        <f t="shared" si="85"/>
        <v>20.732364028002152</v>
      </c>
      <c r="BK74">
        <f t="shared" si="50"/>
        <v>281.58319870759289</v>
      </c>
      <c r="BL74">
        <f t="shared" si="86"/>
        <v>2497.684437264405</v>
      </c>
      <c r="BM74">
        <f t="shared" si="87"/>
        <v>16.507664272698037</v>
      </c>
      <c r="BN74">
        <f t="shared" si="87"/>
        <v>256.61914460285129</v>
      </c>
      <c r="BO74">
        <f t="shared" si="87"/>
        <v>2526.8731911244508</v>
      </c>
      <c r="BP74">
        <f t="shared" si="88"/>
        <v>6.710337114555041</v>
      </c>
      <c r="BQ74">
        <f t="shared" si="88"/>
        <v>243.80891516216647</v>
      </c>
      <c r="BR74">
        <f t="shared" si="88"/>
        <v>2549.4807477232785</v>
      </c>
      <c r="BS74">
        <f t="shared" si="89"/>
        <v>12.882986510509255</v>
      </c>
      <c r="BT74">
        <f t="shared" si="89"/>
        <v>189.43846073407926</v>
      </c>
      <c r="BU74">
        <f t="shared" si="89"/>
        <v>2597.6785527554116</v>
      </c>
      <c r="BV74">
        <f t="shared" si="90"/>
        <v>30.388151174668028</v>
      </c>
      <c r="BW74">
        <f t="shared" si="90"/>
        <v>267.7732379979571</v>
      </c>
      <c r="BX74">
        <f t="shared" si="90"/>
        <v>2501.8386108273749</v>
      </c>
    </row>
    <row r="75" spans="1:76" x14ac:dyDescent="0.35">
      <c r="A75">
        <v>2096</v>
      </c>
      <c r="B75" s="5">
        <f>B74+((B$79-B$74)/5)</f>
        <v>54.8</v>
      </c>
      <c r="C75" s="5">
        <f>C74+((C$79-C$74)/5)</f>
        <v>734.6</v>
      </c>
      <c r="D75" s="5">
        <f t="shared" ref="D75:P78" si="93">D74+((D$79-D$74)/5)</f>
        <v>6580.2</v>
      </c>
      <c r="E75" s="5">
        <f t="shared" si="93"/>
        <v>55</v>
      </c>
      <c r="F75" s="5">
        <f t="shared" si="93"/>
        <v>846.4</v>
      </c>
      <c r="G75" s="5">
        <f t="shared" si="93"/>
        <v>8404</v>
      </c>
      <c r="H75" s="5">
        <f t="shared" si="93"/>
        <v>29.8</v>
      </c>
      <c r="I75" s="5">
        <f t="shared" si="93"/>
        <v>1088.2</v>
      </c>
      <c r="J75" s="5">
        <f t="shared" si="93"/>
        <v>11449</v>
      </c>
      <c r="K75" s="5">
        <f t="shared" si="93"/>
        <v>43.6</v>
      </c>
      <c r="L75" s="5">
        <f t="shared" si="93"/>
        <v>636.20000000000005</v>
      </c>
      <c r="M75" s="5">
        <f t="shared" si="93"/>
        <v>8872.6</v>
      </c>
      <c r="N75" s="5">
        <f t="shared" si="93"/>
        <v>85.2</v>
      </c>
      <c r="O75" s="5">
        <f t="shared" si="93"/>
        <v>736.6</v>
      </c>
      <c r="P75" s="5">
        <f t="shared" si="93"/>
        <v>6961.6</v>
      </c>
      <c r="Q75">
        <f t="shared" si="69"/>
        <v>5.20516717325228E-2</v>
      </c>
      <c r="R75">
        <f t="shared" si="70"/>
        <v>0.69775835866261404</v>
      </c>
      <c r="S75">
        <f t="shared" si="70"/>
        <v>6.2501899696048637</v>
      </c>
      <c r="T75">
        <f t="shared" si="71"/>
        <v>4.1373825950523357E-2</v>
      </c>
      <c r="U75">
        <f t="shared" si="71"/>
        <v>0.63670556880950846</v>
      </c>
      <c r="V75">
        <f t="shared" si="71"/>
        <v>6.3219206052399688</v>
      </c>
      <c r="W75">
        <f t="shared" si="72"/>
        <v>1.6599029203469402E-2</v>
      </c>
      <c r="X75">
        <f t="shared" si="72"/>
        <v>0.60614307312803373</v>
      </c>
      <c r="Y75">
        <f t="shared" si="72"/>
        <v>6.377257897668497</v>
      </c>
      <c r="Z75">
        <f t="shared" si="73"/>
        <v>3.1950085842301412E-2</v>
      </c>
      <c r="AA75">
        <f t="shared" si="73"/>
        <v>0.46620744524936142</v>
      </c>
      <c r="AB75">
        <f t="shared" si="73"/>
        <v>6.5018424689083378</v>
      </c>
      <c r="AC75">
        <f t="shared" si="74"/>
        <v>7.6624611352365285E-2</v>
      </c>
      <c r="AD75">
        <f t="shared" si="74"/>
        <v>0.66246113523652894</v>
      </c>
      <c r="AE75">
        <f t="shared" si="74"/>
        <v>6.2609142534111051</v>
      </c>
      <c r="AF75">
        <f t="shared" si="75"/>
        <v>0.46102909248805907</v>
      </c>
      <c r="AG75">
        <f t="shared" si="75"/>
        <v>6.1801454624402954</v>
      </c>
      <c r="AH75">
        <f t="shared" si="75"/>
        <v>55.358825445071652</v>
      </c>
      <c r="AI75">
        <f t="shared" si="76"/>
        <v>0.3664538869903497</v>
      </c>
      <c r="AJ75">
        <f t="shared" si="76"/>
        <v>5.6393921808842178</v>
      </c>
      <c r="AK75">
        <f t="shared" si="76"/>
        <v>55.994153932125435</v>
      </c>
      <c r="AL75">
        <f t="shared" si="77"/>
        <v>0.14701997294501473</v>
      </c>
      <c r="AM75">
        <f t="shared" si="77"/>
        <v>5.3686957905625849</v>
      </c>
      <c r="AN75">
        <f t="shared" si="77"/>
        <v>56.484284236492407</v>
      </c>
      <c r="AO75">
        <f t="shared" si="78"/>
        <v>0.28298647460324111</v>
      </c>
      <c r="AP75">
        <f t="shared" si="78"/>
        <v>4.1292659436372015</v>
      </c>
      <c r="AQ75">
        <f t="shared" si="78"/>
        <v>57.587747581759565</v>
      </c>
      <c r="AR75">
        <f t="shared" si="79"/>
        <v>0.67867512912094963</v>
      </c>
      <c r="AS75">
        <f t="shared" si="79"/>
        <v>5.8675129120949707</v>
      </c>
      <c r="AT75">
        <f t="shared" si="79"/>
        <v>55.453811958784073</v>
      </c>
      <c r="AU75">
        <f t="shared" si="80"/>
        <v>4.6102909248805911E-2</v>
      </c>
      <c r="AV75">
        <f t="shared" si="80"/>
        <v>0.61801454624402963</v>
      </c>
      <c r="AW75">
        <f t="shared" si="80"/>
        <v>5.5358825445071655</v>
      </c>
      <c r="AX75">
        <f t="shared" si="81"/>
        <v>3.6645388699034977E-2</v>
      </c>
      <c r="AY75">
        <f t="shared" si="81"/>
        <v>0.56393921808842185</v>
      </c>
      <c r="AZ75">
        <f t="shared" si="81"/>
        <v>5.5994153932125439</v>
      </c>
      <c r="BA75">
        <f t="shared" si="82"/>
        <v>1.4701997294501473E-2</v>
      </c>
      <c r="BB75">
        <f t="shared" si="82"/>
        <v>0.53686957905625854</v>
      </c>
      <c r="BC75">
        <f t="shared" si="82"/>
        <v>5.6484284236492401</v>
      </c>
      <c r="BD75">
        <f t="shared" si="83"/>
        <v>2.8298647460324112E-2</v>
      </c>
      <c r="BE75">
        <f t="shared" si="83"/>
        <v>0.41292659436372015</v>
      </c>
      <c r="BF75">
        <f t="shared" si="83"/>
        <v>5.7587747581759565</v>
      </c>
      <c r="BG75">
        <f t="shared" si="84"/>
        <v>6.7867512912094974E-2</v>
      </c>
      <c r="BH75">
        <f t="shared" si="84"/>
        <v>0.58675129120949709</v>
      </c>
      <c r="BI75">
        <f t="shared" si="84"/>
        <v>5.5453811958784076</v>
      </c>
      <c r="BJ75">
        <f t="shared" si="85"/>
        <v>20.820668693009118</v>
      </c>
      <c r="BK75">
        <f t="shared" si="50"/>
        <v>279.10334346504561</v>
      </c>
      <c r="BL75">
        <f t="shared" si="86"/>
        <v>2500.0759878419453</v>
      </c>
      <c r="BM75">
        <f t="shared" si="87"/>
        <v>16.549530380209344</v>
      </c>
      <c r="BN75">
        <f t="shared" si="87"/>
        <v>254.68222752380339</v>
      </c>
      <c r="BO75">
        <f t="shared" si="87"/>
        <v>2528.7682420959873</v>
      </c>
      <c r="BP75">
        <f t="shared" si="88"/>
        <v>6.6396116813877617</v>
      </c>
      <c r="BQ75">
        <f t="shared" si="88"/>
        <v>242.4572292512135</v>
      </c>
      <c r="BR75">
        <f t="shared" si="88"/>
        <v>2550.903159067399</v>
      </c>
      <c r="BS75">
        <f t="shared" si="89"/>
        <v>12.780034336920567</v>
      </c>
      <c r="BT75">
        <f t="shared" si="89"/>
        <v>186.48297809974457</v>
      </c>
      <c r="BU75">
        <f t="shared" si="89"/>
        <v>2600.7369875633353</v>
      </c>
      <c r="BV75">
        <f t="shared" si="90"/>
        <v>30.649844540946113</v>
      </c>
      <c r="BW75">
        <f t="shared" si="90"/>
        <v>264.98445409461158</v>
      </c>
      <c r="BX75">
        <f t="shared" si="90"/>
        <v>2504.365701364442</v>
      </c>
    </row>
    <row r="76" spans="1:76" x14ac:dyDescent="0.35">
      <c r="A76">
        <v>2097</v>
      </c>
      <c r="B76" s="5">
        <f t="shared" ref="B76:C78" si="94">B75+((B$79-B$74)/5)</f>
        <v>54.599999999999994</v>
      </c>
      <c r="C76" s="5">
        <f t="shared" si="94"/>
        <v>722.2</v>
      </c>
      <c r="D76" s="5">
        <f t="shared" si="93"/>
        <v>6534.4</v>
      </c>
      <c r="E76" s="5">
        <f t="shared" si="93"/>
        <v>55</v>
      </c>
      <c r="F76" s="5">
        <f t="shared" si="93"/>
        <v>837.8</v>
      </c>
      <c r="G76" s="5">
        <f t="shared" si="93"/>
        <v>8389</v>
      </c>
      <c r="H76" s="5">
        <f t="shared" si="93"/>
        <v>29.6</v>
      </c>
      <c r="I76" s="5">
        <f t="shared" si="93"/>
        <v>1086.4000000000001</v>
      </c>
      <c r="J76" s="5">
        <f t="shared" si="93"/>
        <v>11500</v>
      </c>
      <c r="K76" s="5">
        <f t="shared" si="93"/>
        <v>43.2</v>
      </c>
      <c r="L76" s="5">
        <f t="shared" si="93"/>
        <v>625.40000000000009</v>
      </c>
      <c r="M76" s="5">
        <f t="shared" si="93"/>
        <v>8873.2000000000007</v>
      </c>
      <c r="N76" s="5">
        <f t="shared" si="93"/>
        <v>85.4</v>
      </c>
      <c r="O76" s="5">
        <f t="shared" si="93"/>
        <v>724.2</v>
      </c>
      <c r="P76" s="5">
        <f t="shared" si="93"/>
        <v>6925.2000000000007</v>
      </c>
      <c r="Q76">
        <f t="shared" si="69"/>
        <v>5.2275960170697008E-2</v>
      </c>
      <c r="R76">
        <f t="shared" si="70"/>
        <v>0.69145967830178368</v>
      </c>
      <c r="S76">
        <f t="shared" si="70"/>
        <v>6.2562643615275197</v>
      </c>
      <c r="T76">
        <f t="shared" si="71"/>
        <v>4.1479023465276134E-2</v>
      </c>
      <c r="U76">
        <f t="shared" si="71"/>
        <v>0.63183865198560629</v>
      </c>
      <c r="V76">
        <f t="shared" si="71"/>
        <v>6.3266823245491182</v>
      </c>
      <c r="W76">
        <f t="shared" si="72"/>
        <v>1.6423589093214966E-2</v>
      </c>
      <c r="X76">
        <f t="shared" si="72"/>
        <v>0.60279010779961961</v>
      </c>
      <c r="Y76">
        <f t="shared" si="72"/>
        <v>6.3807863031071657</v>
      </c>
      <c r="Z76">
        <f t="shared" si="73"/>
        <v>3.169213355970571E-2</v>
      </c>
      <c r="AA76">
        <f t="shared" si="73"/>
        <v>0.45880232241296193</v>
      </c>
      <c r="AB76">
        <f t="shared" si="73"/>
        <v>6.5095055440273324</v>
      </c>
      <c r="AC76">
        <f t="shared" si="74"/>
        <v>7.7287066246056774E-2</v>
      </c>
      <c r="AD76">
        <f t="shared" si="74"/>
        <v>0.65540156177276709</v>
      </c>
      <c r="AE76">
        <f t="shared" si="74"/>
        <v>6.2673113719811759</v>
      </c>
      <c r="AF76">
        <f t="shared" si="75"/>
        <v>0.4630156472261735</v>
      </c>
      <c r="AG76">
        <f t="shared" si="75"/>
        <v>6.1243571506729406</v>
      </c>
      <c r="AH76">
        <f t="shared" si="75"/>
        <v>55.412627202100886</v>
      </c>
      <c r="AI76">
        <f t="shared" si="76"/>
        <v>0.3673856364067315</v>
      </c>
      <c r="AJ76">
        <f t="shared" si="76"/>
        <v>5.5962852033010835</v>
      </c>
      <c r="AK76">
        <f t="shared" si="76"/>
        <v>56.03632916029219</v>
      </c>
      <c r="AL76">
        <f t="shared" si="77"/>
        <v>0.14546607482561827</v>
      </c>
      <c r="AM76">
        <f t="shared" si="77"/>
        <v>5.3389980976537732</v>
      </c>
      <c r="AN76">
        <f t="shared" si="77"/>
        <v>56.515535827520608</v>
      </c>
      <c r="AO76">
        <f t="shared" si="78"/>
        <v>0.2807017543859649</v>
      </c>
      <c r="AP76">
        <f t="shared" si="78"/>
        <v>4.0636777128005201</v>
      </c>
      <c r="AQ76">
        <f t="shared" si="78"/>
        <v>57.655620532813515</v>
      </c>
      <c r="AR76">
        <f t="shared" si="79"/>
        <v>0.68454258675078861</v>
      </c>
      <c r="AS76">
        <f t="shared" si="79"/>
        <v>5.8049852614159372</v>
      </c>
      <c r="AT76">
        <f t="shared" si="79"/>
        <v>55.51047215183327</v>
      </c>
      <c r="AU76">
        <f t="shared" si="80"/>
        <v>4.6301564722617351E-2</v>
      </c>
      <c r="AV76">
        <f t="shared" si="80"/>
        <v>0.61243571506729411</v>
      </c>
      <c r="AW76">
        <f t="shared" si="80"/>
        <v>5.5412627202100886</v>
      </c>
      <c r="AX76">
        <f t="shared" si="81"/>
        <v>3.6738563640673148E-2</v>
      </c>
      <c r="AY76">
        <f t="shared" si="81"/>
        <v>0.55962852033010835</v>
      </c>
      <c r="AZ76">
        <f t="shared" si="81"/>
        <v>5.6036329160292189</v>
      </c>
      <c r="BA76">
        <f t="shared" si="82"/>
        <v>1.4546607482561827E-2</v>
      </c>
      <c r="BB76">
        <f t="shared" si="82"/>
        <v>0.53389980976537732</v>
      </c>
      <c r="BC76">
        <f t="shared" si="82"/>
        <v>5.6515535827520615</v>
      </c>
      <c r="BD76">
        <f t="shared" si="83"/>
        <v>2.8070175438596488E-2</v>
      </c>
      <c r="BE76">
        <f t="shared" si="83"/>
        <v>0.40636777128005203</v>
      </c>
      <c r="BF76">
        <f t="shared" si="83"/>
        <v>5.7655620532813519</v>
      </c>
      <c r="BG76">
        <f t="shared" si="84"/>
        <v>6.8454258675078858E-2</v>
      </c>
      <c r="BH76">
        <f t="shared" si="84"/>
        <v>0.58049852614159381</v>
      </c>
      <c r="BI76">
        <f t="shared" si="84"/>
        <v>5.5510472151833268</v>
      </c>
      <c r="BJ76">
        <f t="shared" si="85"/>
        <v>20.910384068278802</v>
      </c>
      <c r="BK76">
        <f t="shared" si="50"/>
        <v>276.58387132071346</v>
      </c>
      <c r="BL76">
        <f t="shared" si="86"/>
        <v>2502.5057446110077</v>
      </c>
      <c r="BM76">
        <f t="shared" si="87"/>
        <v>16.591609386110456</v>
      </c>
      <c r="BN76">
        <f t="shared" si="87"/>
        <v>252.7354607942425</v>
      </c>
      <c r="BO76">
        <f t="shared" si="87"/>
        <v>2530.6729298196474</v>
      </c>
      <c r="BP76">
        <f t="shared" si="88"/>
        <v>6.5694356372859861</v>
      </c>
      <c r="BQ76">
        <f t="shared" si="88"/>
        <v>241.11604311984783</v>
      </c>
      <c r="BR76">
        <f t="shared" si="88"/>
        <v>2552.3145212428662</v>
      </c>
      <c r="BS76">
        <f t="shared" si="89"/>
        <v>12.676853423882285</v>
      </c>
      <c r="BT76">
        <f t="shared" si="89"/>
        <v>183.52092896518477</v>
      </c>
      <c r="BU76">
        <f t="shared" si="89"/>
        <v>2603.802217610933</v>
      </c>
      <c r="BV76">
        <f t="shared" si="90"/>
        <v>30.914826498422709</v>
      </c>
      <c r="BW76">
        <f t="shared" si="90"/>
        <v>262.16062470910686</v>
      </c>
      <c r="BX76">
        <f t="shared" si="90"/>
        <v>2506.92454879247</v>
      </c>
    </row>
    <row r="77" spans="1:76" x14ac:dyDescent="0.35">
      <c r="A77">
        <v>2098</v>
      </c>
      <c r="B77" s="5">
        <f t="shared" si="94"/>
        <v>54.399999999999991</v>
      </c>
      <c r="C77" s="5">
        <f t="shared" si="94"/>
        <v>709.80000000000007</v>
      </c>
      <c r="D77" s="5">
        <f t="shared" si="93"/>
        <v>6488.5999999999995</v>
      </c>
      <c r="E77" s="5">
        <f t="shared" si="93"/>
        <v>55</v>
      </c>
      <c r="F77" s="5">
        <f t="shared" si="93"/>
        <v>829.19999999999993</v>
      </c>
      <c r="G77" s="5">
        <f t="shared" si="93"/>
        <v>8374</v>
      </c>
      <c r="H77" s="5">
        <f t="shared" si="93"/>
        <v>29.400000000000002</v>
      </c>
      <c r="I77" s="5">
        <f t="shared" si="93"/>
        <v>1084.6000000000001</v>
      </c>
      <c r="J77" s="5">
        <f t="shared" si="93"/>
        <v>11551</v>
      </c>
      <c r="K77" s="5">
        <f t="shared" si="93"/>
        <v>42.800000000000004</v>
      </c>
      <c r="L77" s="5">
        <f t="shared" si="93"/>
        <v>614.60000000000014</v>
      </c>
      <c r="M77" s="5">
        <f t="shared" si="93"/>
        <v>8873.8000000000011</v>
      </c>
      <c r="N77" s="5">
        <f t="shared" si="93"/>
        <v>85.600000000000009</v>
      </c>
      <c r="O77" s="5">
        <f t="shared" si="93"/>
        <v>711.80000000000007</v>
      </c>
      <c r="P77" s="5">
        <f t="shared" si="93"/>
        <v>6888.8000000000011</v>
      </c>
      <c r="Q77">
        <f t="shared" si="69"/>
        <v>5.2503860577983667E-2</v>
      </c>
      <c r="R77">
        <f t="shared" si="70"/>
        <v>0.68505956320317685</v>
      </c>
      <c r="S77">
        <f t="shared" si="70"/>
        <v>6.2624365762188399</v>
      </c>
      <c r="T77">
        <f t="shared" si="71"/>
        <v>4.1584757296234683E-2</v>
      </c>
      <c r="U77">
        <f t="shared" si="71"/>
        <v>0.62694692272796004</v>
      </c>
      <c r="V77">
        <f t="shared" si="71"/>
        <v>6.3314683199758051</v>
      </c>
      <c r="W77">
        <f t="shared" si="72"/>
        <v>1.6249506514015001E-2</v>
      </c>
      <c r="X77">
        <f t="shared" si="72"/>
        <v>0.5994630872483222</v>
      </c>
      <c r="Y77">
        <f t="shared" si="72"/>
        <v>6.3842874062376627</v>
      </c>
      <c r="Z77">
        <f t="shared" si="73"/>
        <v>3.1433607520564046E-2</v>
      </c>
      <c r="AA77">
        <f t="shared" si="73"/>
        <v>0.45138072855464167</v>
      </c>
      <c r="AB77">
        <f t="shared" si="73"/>
        <v>6.5171856639247947</v>
      </c>
      <c r="AC77">
        <f t="shared" si="74"/>
        <v>7.7957898571465734E-2</v>
      </c>
      <c r="AD77">
        <f t="shared" si="74"/>
        <v>0.6482527126538471</v>
      </c>
      <c r="AE77">
        <f t="shared" si="74"/>
        <v>6.2737893887746869</v>
      </c>
      <c r="AF77">
        <f t="shared" si="75"/>
        <v>0.46503419369071253</v>
      </c>
      <c r="AG77">
        <f t="shared" si="75"/>
        <v>6.0676704169424234</v>
      </c>
      <c r="AH77">
        <f t="shared" si="75"/>
        <v>55.467295389366868</v>
      </c>
      <c r="AI77">
        <f t="shared" si="76"/>
        <v>0.36832213605236436</v>
      </c>
      <c r="AJ77">
        <f t="shared" si="76"/>
        <v>5.5529584584476455</v>
      </c>
      <c r="AK77">
        <f t="shared" si="76"/>
        <v>56.078719405499989</v>
      </c>
      <c r="AL77">
        <f t="shared" si="77"/>
        <v>0.1439242005527043</v>
      </c>
      <c r="AM77">
        <f t="shared" si="77"/>
        <v>5.309530201342282</v>
      </c>
      <c r="AN77">
        <f t="shared" si="77"/>
        <v>56.546545598105013</v>
      </c>
      <c r="AO77">
        <f t="shared" si="78"/>
        <v>0.27841195232499583</v>
      </c>
      <c r="AP77">
        <f t="shared" si="78"/>
        <v>3.9979435957696836</v>
      </c>
      <c r="AQ77">
        <f t="shared" si="78"/>
        <v>57.723644451905322</v>
      </c>
      <c r="AR77">
        <f t="shared" si="79"/>
        <v>0.69048424449012513</v>
      </c>
      <c r="AS77">
        <f t="shared" si="79"/>
        <v>5.7416668835055029</v>
      </c>
      <c r="AT77">
        <f t="shared" si="79"/>
        <v>55.567848872004376</v>
      </c>
      <c r="AU77">
        <f t="shared" si="80"/>
        <v>4.650341936907125E-2</v>
      </c>
      <c r="AV77">
        <f t="shared" si="80"/>
        <v>0.60676704169424234</v>
      </c>
      <c r="AW77">
        <f t="shared" si="80"/>
        <v>5.5467295389366864</v>
      </c>
      <c r="AX77">
        <f t="shared" si="81"/>
        <v>3.6832213605236433E-2</v>
      </c>
      <c r="AY77">
        <f t="shared" si="81"/>
        <v>0.55529584584476455</v>
      </c>
      <c r="AZ77">
        <f t="shared" si="81"/>
        <v>5.607871940549999</v>
      </c>
      <c r="BA77">
        <f t="shared" si="82"/>
        <v>1.439242005527043E-2</v>
      </c>
      <c r="BB77">
        <f t="shared" si="82"/>
        <v>0.53095302013422829</v>
      </c>
      <c r="BC77">
        <f t="shared" si="82"/>
        <v>5.6546545598105018</v>
      </c>
      <c r="BD77">
        <f t="shared" si="83"/>
        <v>2.7841195232499585E-2</v>
      </c>
      <c r="BE77">
        <f t="shared" si="83"/>
        <v>0.39979435957696835</v>
      </c>
      <c r="BF77">
        <f t="shared" si="83"/>
        <v>5.772364445190532</v>
      </c>
      <c r="BG77">
        <f t="shared" si="84"/>
        <v>6.9048424449012519E-2</v>
      </c>
      <c r="BH77">
        <f t="shared" si="84"/>
        <v>0.57416668835055029</v>
      </c>
      <c r="BI77">
        <f t="shared" si="84"/>
        <v>5.5567848872004371</v>
      </c>
      <c r="BJ77">
        <f t="shared" si="85"/>
        <v>21.001544231193467</v>
      </c>
      <c r="BK77">
        <f t="shared" si="50"/>
        <v>274.02382528127072</v>
      </c>
      <c r="BL77">
        <f t="shared" si="86"/>
        <v>2504.9746304875357</v>
      </c>
      <c r="BM77">
        <f t="shared" si="87"/>
        <v>16.633902918493874</v>
      </c>
      <c r="BN77">
        <f t="shared" si="87"/>
        <v>250.77876909118402</v>
      </c>
      <c r="BO77">
        <f t="shared" si="87"/>
        <v>2532.5873279903221</v>
      </c>
      <c r="BP77">
        <f t="shared" si="88"/>
        <v>6.4998026056060008</v>
      </c>
      <c r="BQ77">
        <f t="shared" si="88"/>
        <v>239.78523489932888</v>
      </c>
      <c r="BR77">
        <f t="shared" si="88"/>
        <v>2553.7149624950653</v>
      </c>
      <c r="BS77">
        <f t="shared" si="89"/>
        <v>12.573443008225619</v>
      </c>
      <c r="BT77">
        <f t="shared" si="89"/>
        <v>180.55229142185667</v>
      </c>
      <c r="BU77">
        <f t="shared" si="89"/>
        <v>2606.874265569918</v>
      </c>
      <c r="BV77">
        <f t="shared" si="90"/>
        <v>31.183159428586297</v>
      </c>
      <c r="BW77">
        <f t="shared" si="90"/>
        <v>259.30108506153886</v>
      </c>
      <c r="BX77">
        <f t="shared" si="90"/>
        <v>2509.5157555098749</v>
      </c>
    </row>
    <row r="78" spans="1:76" x14ac:dyDescent="0.35">
      <c r="A78">
        <v>2099</v>
      </c>
      <c r="B78" s="5">
        <f t="shared" si="94"/>
        <v>54.199999999999989</v>
      </c>
      <c r="C78" s="5">
        <f t="shared" si="94"/>
        <v>697.40000000000009</v>
      </c>
      <c r="D78" s="5">
        <f t="shared" si="93"/>
        <v>6442.7999999999993</v>
      </c>
      <c r="E78" s="5">
        <f t="shared" si="93"/>
        <v>55</v>
      </c>
      <c r="F78" s="5">
        <f t="shared" si="93"/>
        <v>820.59999999999991</v>
      </c>
      <c r="G78" s="5">
        <f t="shared" si="93"/>
        <v>8359</v>
      </c>
      <c r="H78" s="5">
        <f t="shared" si="93"/>
        <v>29.200000000000003</v>
      </c>
      <c r="I78" s="5">
        <f t="shared" si="93"/>
        <v>1082.8000000000002</v>
      </c>
      <c r="J78" s="5">
        <f t="shared" si="93"/>
        <v>11602</v>
      </c>
      <c r="K78" s="5">
        <f t="shared" si="93"/>
        <v>42.400000000000006</v>
      </c>
      <c r="L78" s="5">
        <f t="shared" si="93"/>
        <v>603.80000000000018</v>
      </c>
      <c r="M78" s="5">
        <f t="shared" si="93"/>
        <v>8874.4000000000015</v>
      </c>
      <c r="N78" s="5">
        <f t="shared" si="93"/>
        <v>85.800000000000011</v>
      </c>
      <c r="O78" s="5">
        <f t="shared" si="93"/>
        <v>699.40000000000009</v>
      </c>
      <c r="P78" s="5">
        <f t="shared" si="93"/>
        <v>6852.4000000000015</v>
      </c>
      <c r="Q78">
        <f t="shared" si="69"/>
        <v>5.2735460914044248E-2</v>
      </c>
      <c r="R78">
        <f t="shared" si="70"/>
        <v>0.67855554320026701</v>
      </c>
      <c r="S78">
        <f t="shared" si="70"/>
        <v>6.2687089958856879</v>
      </c>
      <c r="T78">
        <f t="shared" si="71"/>
        <v>4.1691031555237908E-2</v>
      </c>
      <c r="U78">
        <f t="shared" si="71"/>
        <v>0.62203019080414945</v>
      </c>
      <c r="V78">
        <f t="shared" si="71"/>
        <v>6.3362787776406124</v>
      </c>
      <c r="W78">
        <f t="shared" si="72"/>
        <v>1.6076765770017307E-2</v>
      </c>
      <c r="X78">
        <f t="shared" si="72"/>
        <v>0.59616171149913488</v>
      </c>
      <c r="Y78">
        <f t="shared" si="72"/>
        <v>6.3877615227308482</v>
      </c>
      <c r="Z78">
        <f t="shared" si="73"/>
        <v>3.1174505808457448E-2</v>
      </c>
      <c r="AA78">
        <f t="shared" si="73"/>
        <v>0.44394260865911817</v>
      </c>
      <c r="AB78">
        <f t="shared" si="73"/>
        <v>6.5248828855324241</v>
      </c>
      <c r="AC78">
        <f t="shared" si="74"/>
        <v>7.8637268251806836E-2</v>
      </c>
      <c r="AD78">
        <f t="shared" si="74"/>
        <v>0.64101288362836495</v>
      </c>
      <c r="AE78">
        <f t="shared" si="74"/>
        <v>6.2803498481198288</v>
      </c>
      <c r="AF78">
        <f t="shared" si="75"/>
        <v>0.46708551095296336</v>
      </c>
      <c r="AG78">
        <f t="shared" si="75"/>
        <v>6.0100633826309355</v>
      </c>
      <c r="AH78">
        <f t="shared" si="75"/>
        <v>55.522851106416098</v>
      </c>
      <c r="AI78">
        <f t="shared" si="76"/>
        <v>0.36926342234639292</v>
      </c>
      <c r="AJ78">
        <f t="shared" si="76"/>
        <v>5.5094102614081812</v>
      </c>
      <c r="AK78">
        <f t="shared" si="76"/>
        <v>56.121326316245423</v>
      </c>
      <c r="AL78">
        <f t="shared" si="77"/>
        <v>0.14239421110586756</v>
      </c>
      <c r="AM78">
        <f t="shared" si="77"/>
        <v>5.2802894447066233</v>
      </c>
      <c r="AN78">
        <f t="shared" si="77"/>
        <v>56.577316344187508</v>
      </c>
      <c r="AO78">
        <f t="shared" si="78"/>
        <v>0.27611705144633741</v>
      </c>
      <c r="AP78">
        <f t="shared" si="78"/>
        <v>3.932063105266475</v>
      </c>
      <c r="AQ78">
        <f t="shared" si="78"/>
        <v>57.791819843287186</v>
      </c>
      <c r="AR78">
        <f t="shared" si="79"/>
        <v>0.69650151880171773</v>
      </c>
      <c r="AS78">
        <f t="shared" si="79"/>
        <v>5.6775426835655178</v>
      </c>
      <c r="AT78">
        <f t="shared" si="79"/>
        <v>55.62595579763277</v>
      </c>
      <c r="AU78">
        <f t="shared" si="80"/>
        <v>4.6708551095296334E-2</v>
      </c>
      <c r="AV78">
        <f t="shared" si="80"/>
        <v>0.60100633826309358</v>
      </c>
      <c r="AW78">
        <f t="shared" si="80"/>
        <v>5.55228511064161</v>
      </c>
      <c r="AX78">
        <f t="shared" si="81"/>
        <v>3.6926342234639295E-2</v>
      </c>
      <c r="AY78">
        <f t="shared" si="81"/>
        <v>0.55094102614081819</v>
      </c>
      <c r="AZ78">
        <f t="shared" si="81"/>
        <v>5.6121326316245428</v>
      </c>
      <c r="BA78">
        <f t="shared" si="82"/>
        <v>1.4239421110586757E-2</v>
      </c>
      <c r="BB78">
        <f t="shared" si="82"/>
        <v>0.5280289444706624</v>
      </c>
      <c r="BC78">
        <f t="shared" si="82"/>
        <v>5.6577316344187514</v>
      </c>
      <c r="BD78">
        <f t="shared" si="83"/>
        <v>2.7611705144633743E-2</v>
      </c>
      <c r="BE78">
        <f t="shared" si="83"/>
        <v>0.39320631052664751</v>
      </c>
      <c r="BF78">
        <f t="shared" si="83"/>
        <v>5.7791819843287184</v>
      </c>
      <c r="BG78">
        <f t="shared" si="84"/>
        <v>6.9650151880171776E-2</v>
      </c>
      <c r="BH78">
        <f t="shared" si="84"/>
        <v>0.56775426835655174</v>
      </c>
      <c r="BI78">
        <f t="shared" si="84"/>
        <v>5.5625955797632773</v>
      </c>
      <c r="BJ78">
        <f t="shared" si="85"/>
        <v>21.0941843656177</v>
      </c>
      <c r="BK78">
        <f t="shared" si="50"/>
        <v>271.42221728010679</v>
      </c>
      <c r="BL78">
        <f t="shared" si="86"/>
        <v>2507.4835983542753</v>
      </c>
      <c r="BM78">
        <f t="shared" si="87"/>
        <v>16.676412622095164</v>
      </c>
      <c r="BN78">
        <f t="shared" si="87"/>
        <v>248.81207632165982</v>
      </c>
      <c r="BO78">
        <f t="shared" si="87"/>
        <v>2534.5115110562451</v>
      </c>
      <c r="BP78">
        <f t="shared" si="88"/>
        <v>6.430706308006922</v>
      </c>
      <c r="BQ78">
        <f t="shared" si="88"/>
        <v>238.46468459965396</v>
      </c>
      <c r="BR78">
        <f t="shared" si="88"/>
        <v>2555.1046090923392</v>
      </c>
      <c r="BS78">
        <f t="shared" si="89"/>
        <v>12.46980232338298</v>
      </c>
      <c r="BT78">
        <f t="shared" si="89"/>
        <v>177.57704346364727</v>
      </c>
      <c r="BU78">
        <f t="shared" si="89"/>
        <v>2609.9531542129698</v>
      </c>
      <c r="BV78">
        <f t="shared" si="90"/>
        <v>31.454907300722738</v>
      </c>
      <c r="BW78">
        <f t="shared" si="90"/>
        <v>256.40515345134594</v>
      </c>
      <c r="BX78">
        <f t="shared" si="90"/>
        <v>2512.1399392479316</v>
      </c>
    </row>
    <row r="79" spans="1:76" x14ac:dyDescent="0.35">
      <c r="A79">
        <v>2100</v>
      </c>
      <c r="B79" s="5">
        <v>54</v>
      </c>
      <c r="C79" s="5">
        <v>685</v>
      </c>
      <c r="D79" s="5">
        <v>6397</v>
      </c>
      <c r="E79" s="5">
        <v>55</v>
      </c>
      <c r="F79" s="5">
        <v>812</v>
      </c>
      <c r="G79" s="5">
        <v>8344</v>
      </c>
      <c r="H79" s="5">
        <v>29</v>
      </c>
      <c r="I79" s="5">
        <v>1081</v>
      </c>
      <c r="J79" s="5">
        <v>11653</v>
      </c>
      <c r="K79" s="5">
        <v>42</v>
      </c>
      <c r="L79" s="5">
        <v>593</v>
      </c>
      <c r="M79" s="5">
        <v>8875</v>
      </c>
      <c r="N79" s="5">
        <v>86</v>
      </c>
      <c r="O79" s="5">
        <v>687</v>
      </c>
      <c r="P79" s="5">
        <v>6816</v>
      </c>
      <c r="Q79">
        <f t="shared" si="69"/>
        <v>5.297085201793722E-2</v>
      </c>
      <c r="R79">
        <f t="shared" si="70"/>
        <v>0.67194506726457404</v>
      </c>
      <c r="S79">
        <f t="shared" si="70"/>
        <v>6.2750840807174884</v>
      </c>
      <c r="T79">
        <f t="shared" si="71"/>
        <v>4.1797850396265337E-2</v>
      </c>
      <c r="U79">
        <f t="shared" si="71"/>
        <v>0.61708826403213557</v>
      </c>
      <c r="V79">
        <f t="shared" si="71"/>
        <v>6.3411138855715992</v>
      </c>
      <c r="W79">
        <f t="shared" si="72"/>
        <v>1.5905351406409151E-2</v>
      </c>
      <c r="X79">
        <f t="shared" si="72"/>
        <v>0.59288568518373419</v>
      </c>
      <c r="Y79">
        <f t="shared" si="72"/>
        <v>6.3912089634098574</v>
      </c>
      <c r="Z79">
        <f t="shared" si="73"/>
        <v>3.0914826498422712E-2</v>
      </c>
      <c r="AA79">
        <f t="shared" si="73"/>
        <v>0.43648790746582544</v>
      </c>
      <c r="AB79">
        <f t="shared" si="73"/>
        <v>6.5325972660357516</v>
      </c>
      <c r="AC79">
        <f t="shared" si="74"/>
        <v>7.9325339306891562E-2</v>
      </c>
      <c r="AD79">
        <f t="shared" si="74"/>
        <v>0.63368032678877317</v>
      </c>
      <c r="AE79">
        <f t="shared" si="74"/>
        <v>6.2869943339043353</v>
      </c>
      <c r="AF79">
        <f t="shared" si="75"/>
        <v>0.46917040358744394</v>
      </c>
      <c r="AG79">
        <f t="shared" si="75"/>
        <v>5.9515134529147984</v>
      </c>
      <c r="AH79">
        <f t="shared" si="75"/>
        <v>55.579316143497756</v>
      </c>
      <c r="AI79">
        <f t="shared" si="76"/>
        <v>0.37020953208120727</v>
      </c>
      <c r="AJ79">
        <f t="shared" si="76"/>
        <v>5.4656389099989147</v>
      </c>
      <c r="AK79">
        <f t="shared" si="76"/>
        <v>56.164151557919872</v>
      </c>
      <c r="AL79">
        <f t="shared" si="77"/>
        <v>0.1408759695996239</v>
      </c>
      <c r="AM79">
        <f t="shared" si="77"/>
        <v>5.2512732116273604</v>
      </c>
      <c r="AN79">
        <f t="shared" si="77"/>
        <v>56.607850818773016</v>
      </c>
      <c r="AO79">
        <f t="shared" si="78"/>
        <v>0.27381703470031543</v>
      </c>
      <c r="AP79">
        <f t="shared" si="78"/>
        <v>3.8660357518401685</v>
      </c>
      <c r="AQ79">
        <f t="shared" si="78"/>
        <v>57.860147213459513</v>
      </c>
      <c r="AR79">
        <f t="shared" si="79"/>
        <v>0.70259586243246808</v>
      </c>
      <c r="AS79">
        <f t="shared" si="79"/>
        <v>5.6125971801291339</v>
      </c>
      <c r="AT79">
        <f t="shared" si="79"/>
        <v>55.684806957438397</v>
      </c>
      <c r="AU79">
        <f t="shared" si="80"/>
        <v>4.6917040358744395E-2</v>
      </c>
      <c r="AV79">
        <f t="shared" si="80"/>
        <v>0.59515134529147984</v>
      </c>
      <c r="AW79">
        <f t="shared" si="80"/>
        <v>5.5579316143497755</v>
      </c>
      <c r="AX79">
        <f t="shared" si="81"/>
        <v>3.7020953208120724E-2</v>
      </c>
      <c r="AY79">
        <f t="shared" si="81"/>
        <v>0.54656389099989144</v>
      </c>
      <c r="AZ79">
        <f t="shared" si="81"/>
        <v>5.6164151557919881</v>
      </c>
      <c r="BA79">
        <f t="shared" si="82"/>
        <v>1.408759695996239E-2</v>
      </c>
      <c r="BB79">
        <f t="shared" si="82"/>
        <v>0.52512732116273608</v>
      </c>
      <c r="BC79">
        <f t="shared" si="82"/>
        <v>5.660785081877302</v>
      </c>
      <c r="BD79">
        <f t="shared" si="83"/>
        <v>2.7381703470031545E-2</v>
      </c>
      <c r="BE79">
        <f t="shared" si="83"/>
        <v>0.38660357518401683</v>
      </c>
      <c r="BF79">
        <f t="shared" si="83"/>
        <v>5.7860147213459516</v>
      </c>
      <c r="BG79">
        <f t="shared" si="84"/>
        <v>7.025958624324681E-2</v>
      </c>
      <c r="BH79">
        <f t="shared" si="84"/>
        <v>0.56125971801291341</v>
      </c>
      <c r="BI79">
        <f t="shared" si="84"/>
        <v>5.5684806957438404</v>
      </c>
      <c r="BJ79">
        <f t="shared" si="85"/>
        <v>21.188340807174889</v>
      </c>
      <c r="BK79">
        <f t="shared" si="50"/>
        <v>268.77802690582962</v>
      </c>
      <c r="BL79">
        <f t="shared" si="86"/>
        <v>2510.0336322869953</v>
      </c>
      <c r="BM79">
        <f t="shared" si="87"/>
        <v>16.719140158506136</v>
      </c>
      <c r="BN79">
        <f t="shared" si="87"/>
        <v>246.8353056128542</v>
      </c>
      <c r="BO79">
        <f t="shared" si="87"/>
        <v>2536.4455542286396</v>
      </c>
      <c r="BP79">
        <f t="shared" si="88"/>
        <v>6.3621405625636598</v>
      </c>
      <c r="BQ79">
        <f t="shared" si="88"/>
        <v>237.1542740734937</v>
      </c>
      <c r="BR79">
        <f t="shared" si="88"/>
        <v>2556.4835853639429</v>
      </c>
      <c r="BS79">
        <f t="shared" si="89"/>
        <v>12.365930599369085</v>
      </c>
      <c r="BT79">
        <f t="shared" si="89"/>
        <v>174.59516298633019</v>
      </c>
      <c r="BU79">
        <f t="shared" si="89"/>
        <v>2613.0389064143005</v>
      </c>
      <c r="BV79">
        <f t="shared" si="90"/>
        <v>31.730135722756621</v>
      </c>
      <c r="BW79">
        <f t="shared" si="90"/>
        <v>253.47213071550928</v>
      </c>
      <c r="BX79">
        <f t="shared" si="90"/>
        <v>2514.7977335617343</v>
      </c>
    </row>
    <row r="81" spans="18:75" x14ac:dyDescent="0.35">
      <c r="R81">
        <f>(SUM(Q4:S79))/(($A$79-$A$4)+1)</f>
        <v>7</v>
      </c>
      <c r="U81">
        <f>(SUM(T4:V79))/(($A$79-$A$4)+1)</f>
        <v>7</v>
      </c>
      <c r="X81">
        <f>(SUM(W4:Y79))/(($A$79-$A$4)+1)</f>
        <v>6.9999999999999982</v>
      </c>
      <c r="AA81">
        <f>(SUM(Z4:AB79))/(($A$79-$A$4)+1)</f>
        <v>6.9999999999999982</v>
      </c>
      <c r="AD81">
        <f>(SUM(AC4:AE79))/(($A$79-$A$4)+1)</f>
        <v>6.9999999999999982</v>
      </c>
      <c r="AG81">
        <f>(SUM(AF4:AH79))/(($A$79-$A$4)+1)</f>
        <v>62.000000000000014</v>
      </c>
      <c r="AJ81">
        <f>(SUM(AI4:AK79))/(($A$79-$A$4)+1)</f>
        <v>61.999999999999986</v>
      </c>
      <c r="AM81">
        <f>(SUM(AL4:AN79))/(($A$79-$A$4)+1)</f>
        <v>61.999999999999986</v>
      </c>
      <c r="AP81">
        <f>(SUM(AO4:AQ79))/(($A$79-$A$4)+1)</f>
        <v>62.000000000000014</v>
      </c>
      <c r="AS81">
        <f>(SUM(AR4:AT79))/(($A$79-$A$4)+1)</f>
        <v>62.000000000000014</v>
      </c>
      <c r="AV81">
        <f>(SUM(AU4:AW79))/(($A$79-$A$4)+1)</f>
        <v>6.2</v>
      </c>
      <c r="AY81">
        <f>(SUM(AX4:AZ79))/(($A$79-$A$4)+1)</f>
        <v>6.2</v>
      </c>
      <c r="BB81">
        <f>(SUM(BA4:BC79))/(($A$79-$A$4)+1)</f>
        <v>6.1999999999999957</v>
      </c>
      <c r="BE81">
        <f>(SUM(BD4:BF79))/(($A$79-$A$4)+1)</f>
        <v>6.1999999999999984</v>
      </c>
      <c r="BH81">
        <f>(SUM(BG4:BI79))/(($A$79-$A$4)+1)</f>
        <v>6.2</v>
      </c>
      <c r="BK81">
        <f>(SUM(BJ4:BL79))/(($A$79-$A$4)+1)</f>
        <v>2800.0000000000005</v>
      </c>
      <c r="BN81">
        <f>(SUM(BM4:BO79))/(($A$79-$A$4)+1)</f>
        <v>2799.9999999999995</v>
      </c>
      <c r="BQ81">
        <f>(SUM(BP4:BR79))/(($A$79-$A$4)+1)</f>
        <v>2799.9999999999986</v>
      </c>
      <c r="BT81">
        <f>(SUM(BS4:BU79))/(($A$79-$A$4)+1)</f>
        <v>2800.0000000000005</v>
      </c>
      <c r="BW81">
        <f>(SUM(BV4:BX79))/(($A$79-$A$4)+1)</f>
        <v>2800.0000000000005</v>
      </c>
    </row>
  </sheetData>
  <mergeCells count="30">
    <mergeCell ref="B2:D2"/>
    <mergeCell ref="E2:G2"/>
    <mergeCell ref="H2:J2"/>
    <mergeCell ref="K2:M2"/>
    <mergeCell ref="N2:P2"/>
    <mergeCell ref="B1:P1"/>
    <mergeCell ref="Q1:AE1"/>
    <mergeCell ref="AF1:AT1"/>
    <mergeCell ref="AU1:BI1"/>
    <mergeCell ref="BJ1:BX1"/>
    <mergeCell ref="AX2:AZ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BS2:BU2"/>
    <mergeCell ref="BV2:BX2"/>
    <mergeCell ref="BA2:BC2"/>
    <mergeCell ref="BD2:BF2"/>
    <mergeCell ref="BG2:BI2"/>
    <mergeCell ref="BJ2:BL2"/>
    <mergeCell ref="BM2:BO2"/>
    <mergeCell ref="BP2:B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Technology shift</vt:lpstr>
      <vt:lpstr>Planetary boundary limits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Chimobi Nwonu</dc:creator>
  <cp:lastModifiedBy>Donald Chimobi Nwonu</cp:lastModifiedBy>
  <dcterms:created xsi:type="dcterms:W3CDTF">2026-03-03T07:59:21Z</dcterms:created>
  <dcterms:modified xsi:type="dcterms:W3CDTF">2026-03-06T14:19:50Z</dcterms:modified>
</cp:coreProperties>
</file>